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  <sheet state="visible" name="Filial 1 - Fábrica" sheetId="2" r:id="rId5"/>
    <sheet state="visible" name="Filial 2 - Distribuição" sheetId="3" r:id="rId6"/>
    <sheet state="visible" name="Filial 3 - Distribuição" sheetId="4" r:id="rId7"/>
    <sheet state="visible" name="Endereçamento IP" sheetId="5" r:id="rId8"/>
    <sheet state="visible" name="Cálculo Links" sheetId="6" r:id="rId9"/>
  </sheets>
  <definedNames/>
  <calcPr/>
  <extLst>
    <ext uri="GoogleSheetsCustomDataVersion2">
      <go:sheetsCustomData xmlns:go="http://customooxmlschemas.google.com/" r:id="rId10" roundtripDataChecksum="BBEVZnX7G1NZsoABoOEBvBTKZ4n0pfykKrLYjOVxe6Q="/>
    </ext>
  </extLst>
</workbook>
</file>

<file path=xl/sharedStrings.xml><?xml version="1.0" encoding="utf-8"?>
<sst xmlns="http://schemas.openxmlformats.org/spreadsheetml/2006/main" count="744" uniqueCount="189">
  <si>
    <t>Matriz – Escritório Central</t>
  </si>
  <si>
    <t xml:space="preserve">  Tipo Ativo</t>
  </si>
  <si>
    <t>Modelo</t>
  </si>
  <si>
    <t xml:space="preserve"> Fabricante</t>
  </si>
  <si>
    <t xml:space="preserve">   Setor</t>
  </si>
  <si>
    <t>Quantidade</t>
  </si>
  <si>
    <t xml:space="preserve">  Valor</t>
  </si>
  <si>
    <t xml:space="preserve"> Valor Total</t>
  </si>
  <si>
    <t xml:space="preserve">  </t>
  </si>
  <si>
    <t>Computador</t>
  </si>
  <si>
    <t>MacBook Pro Apple 14", M4</t>
  </si>
  <si>
    <t>Apple</t>
  </si>
  <si>
    <t>Diretoria</t>
  </si>
  <si>
    <t>Desktop Dell Pro Micro</t>
  </si>
  <si>
    <t>Dell</t>
  </si>
  <si>
    <t>Contabilidade</t>
  </si>
  <si>
    <t>Rh</t>
  </si>
  <si>
    <t>Comercial</t>
  </si>
  <si>
    <t>T.I</t>
  </si>
  <si>
    <t>Servidor</t>
  </si>
  <si>
    <t>Servidor Torre PowerEdge T360</t>
  </si>
  <si>
    <t>Switch</t>
  </si>
  <si>
    <t>Cisco Catalyst 2950T</t>
  </si>
  <si>
    <t>Cisco</t>
  </si>
  <si>
    <t>Todos</t>
  </si>
  <si>
    <t>Mesa</t>
  </si>
  <si>
    <t>MESA ESCRITÓRIO EM L</t>
  </si>
  <si>
    <t>Comercial Nagasaki</t>
  </si>
  <si>
    <t>Escrivaninha Mesa Escritorio 180 cm</t>
  </si>
  <si>
    <t>Tecno Mobili</t>
  </si>
  <si>
    <t>Cadeira</t>
  </si>
  <si>
    <t>Tecton Night Blue Unique</t>
  </si>
  <si>
    <t>FlexForm</t>
  </si>
  <si>
    <t>Dot All Black</t>
  </si>
  <si>
    <t>Headset</t>
  </si>
  <si>
    <t>HP P2 DHH-1601</t>
  </si>
  <si>
    <t>HP</t>
  </si>
  <si>
    <t>Rack Servidor</t>
  </si>
  <si>
    <t>SOHO-060620</t>
  </si>
  <si>
    <t>SOHO Piso</t>
  </si>
  <si>
    <t>Patch Panel</t>
  </si>
  <si>
    <t>Sohoplus 24p Cat5e Furukawa T568a/b 24 Portas</t>
  </si>
  <si>
    <t>Furukawa</t>
  </si>
  <si>
    <t>Patch Cord</t>
  </si>
  <si>
    <t>Patch Cord Furukawa</t>
  </si>
  <si>
    <t>Conector</t>
  </si>
  <si>
    <t>RJ 45</t>
  </si>
  <si>
    <t>Placa Espelho</t>
  </si>
  <si>
    <t>Placa 4x2 2 Posto Separados</t>
  </si>
  <si>
    <t>Cabo de Rede</t>
  </si>
  <si>
    <t>Cabo de Rede CAT.6</t>
  </si>
  <si>
    <t>Roteador</t>
  </si>
  <si>
    <t>Cisco 4331</t>
  </si>
  <si>
    <t>Filial 1- Fábrica</t>
  </si>
  <si>
    <t>Produção</t>
  </si>
  <si>
    <t>Engenharia</t>
  </si>
  <si>
    <t>Controle de Qualidade</t>
  </si>
  <si>
    <t>Almoxarifado</t>
  </si>
  <si>
    <t>T.I e Engenharia</t>
  </si>
  <si>
    <t>PATCH PANEL INDUSTRIAL 24P BLINDADO</t>
  </si>
  <si>
    <t>RJ 45 blindado</t>
  </si>
  <si>
    <t>Cabo de Rede CAT.6 blindado</t>
  </si>
  <si>
    <t>Filial 2 - Centro de Distribuição</t>
  </si>
  <si>
    <t>Recebimento e Armazenagem</t>
  </si>
  <si>
    <t>Administrativo Local</t>
  </si>
  <si>
    <t>Expedição</t>
  </si>
  <si>
    <t>Filial 3 - Centro de Distribuição</t>
  </si>
  <si>
    <t>Planilha de IP's</t>
  </si>
  <si>
    <t>Nome</t>
  </si>
  <si>
    <t xml:space="preserve"> IP adress</t>
  </si>
  <si>
    <t xml:space="preserve"> Subnet Mask</t>
  </si>
  <si>
    <t>IP Gateway</t>
  </si>
  <si>
    <t>IP Range</t>
  </si>
  <si>
    <t>DHCP IP</t>
  </si>
  <si>
    <t>Matriz - Contabilidade 1</t>
  </si>
  <si>
    <t>192.168.1.11</t>
  </si>
  <si>
    <t>255.255.255.0</t>
  </si>
  <si>
    <t>192.168.1.1</t>
  </si>
  <si>
    <t>192.168.1.0/24</t>
  </si>
  <si>
    <t>Não utilizado</t>
  </si>
  <si>
    <t>Matriz - Contabilidade 2</t>
  </si>
  <si>
    <t>192.168.1.12</t>
  </si>
  <si>
    <t>Matriz - Contabilidade 3</t>
  </si>
  <si>
    <t>192.168.1.13</t>
  </si>
  <si>
    <t>Matriz - Contabilidade 4</t>
  </si>
  <si>
    <t>192.168.1.14</t>
  </si>
  <si>
    <t>Matriz - RH 1</t>
  </si>
  <si>
    <t>192.168.1.31</t>
  </si>
  <si>
    <t>Matriz - RH 2</t>
  </si>
  <si>
    <t>192.168.1.32</t>
  </si>
  <si>
    <t>Matriz - RH 3</t>
  </si>
  <si>
    <t>192.168.1.33</t>
  </si>
  <si>
    <t>Matriz - RH 4</t>
  </si>
  <si>
    <t>192.168.1.34</t>
  </si>
  <si>
    <t>Matriz - Comercial 1</t>
  </si>
  <si>
    <t>192.168.1.51</t>
  </si>
  <si>
    <t>Matriz - Comercial 2</t>
  </si>
  <si>
    <t>192.168.1.52</t>
  </si>
  <si>
    <t>Matriz - T.I 1</t>
  </si>
  <si>
    <t>192.168.1.71</t>
  </si>
  <si>
    <t>Matriz - T.I 2</t>
  </si>
  <si>
    <t>192.168.1.72</t>
  </si>
  <si>
    <t>Matriz - T.I 3</t>
  </si>
  <si>
    <t>192.168.1.73</t>
  </si>
  <si>
    <t>Matriz - Diretoria 1</t>
  </si>
  <si>
    <t>192.168.1.91</t>
  </si>
  <si>
    <t>Matriz - Diretoria 2</t>
  </si>
  <si>
    <t>192.168.1.92</t>
  </si>
  <si>
    <t>Matriz - Servidor 1</t>
  </si>
  <si>
    <t>192.168.1.2</t>
  </si>
  <si>
    <t>Fábrica - T.I 1</t>
  </si>
  <si>
    <t>192.168.2.11</t>
  </si>
  <si>
    <t>192.168.2.1</t>
  </si>
  <si>
    <t>192.168.2.0/24</t>
  </si>
  <si>
    <t>Fábrica - Engenharia 1</t>
  </si>
  <si>
    <t>192.168.2.31</t>
  </si>
  <si>
    <t>Fábrica - Engenharia 2</t>
  </si>
  <si>
    <t>192.168.2.32</t>
  </si>
  <si>
    <t>Fábrica - Engenharia 3</t>
  </si>
  <si>
    <t>192.168.2.33</t>
  </si>
  <si>
    <t>Fábrica - Engenharia 4</t>
  </si>
  <si>
    <t>192.168.2.34</t>
  </si>
  <si>
    <t>Fábrica - Produção 1</t>
  </si>
  <si>
    <t>192.168.2.71</t>
  </si>
  <si>
    <t>Fábrica - Produção 2</t>
  </si>
  <si>
    <t>192.168.2.72</t>
  </si>
  <si>
    <t>Fábrica - Produção 3</t>
  </si>
  <si>
    <t>192.168.2.73</t>
  </si>
  <si>
    <t>Fábrica - Produção 4</t>
  </si>
  <si>
    <t>192.168.2.74</t>
  </si>
  <si>
    <t>Fábrica - Controle e Qualidade 1</t>
  </si>
  <si>
    <t>192.168.2.51</t>
  </si>
  <si>
    <t>Fábrica - Controle e Qualidade 2</t>
  </si>
  <si>
    <t>192.168.2.52</t>
  </si>
  <si>
    <t>Fábrica - Almoxarifado 1</t>
  </si>
  <si>
    <t>192.168.2.91</t>
  </si>
  <si>
    <t>Fábrica - Almoxarifado 2</t>
  </si>
  <si>
    <t>192.168.2.92</t>
  </si>
  <si>
    <t>Fábrica - Servidor 1</t>
  </si>
  <si>
    <t>192.168.2.2</t>
  </si>
  <si>
    <t>Centro de Distribuição 1 - Recebimento e Armazenagem 1</t>
  </si>
  <si>
    <t>192.168.3.2</t>
  </si>
  <si>
    <t>192.168.3.1</t>
  </si>
  <si>
    <t>192.168.3.0/24</t>
  </si>
  <si>
    <t>Centro de Distribuição 1 - Recebimento e Armazenagem 2</t>
  </si>
  <si>
    <t>192.168.3.3</t>
  </si>
  <si>
    <t>Centro de Distribuição 1 - Administrador Local 1</t>
  </si>
  <si>
    <t>192.168.3.22</t>
  </si>
  <si>
    <t>Centro de Distribuição 1 - T.I 1</t>
  </si>
  <si>
    <t>192.168.3.62</t>
  </si>
  <si>
    <t>Centro de Distribuição 1 - Expedição 1</t>
  </si>
  <si>
    <t>192.168.3.42</t>
  </si>
  <si>
    <t>Centro de Distribuição 1 - Expedição 2</t>
  </si>
  <si>
    <t>192.168.3.43</t>
  </si>
  <si>
    <t>Centro de Distribuição 2 - Recebimento e Armazenagem 1</t>
  </si>
  <si>
    <t>192.168.4.2</t>
  </si>
  <si>
    <t>192.168.4.1</t>
  </si>
  <si>
    <t>192.168.4.0/24</t>
  </si>
  <si>
    <t>Centro de Distribuição 2 - Recebimento e Armazenagem 2</t>
  </si>
  <si>
    <t>192.168.4.3</t>
  </si>
  <si>
    <t>Centro de Distribuição 2 - Administrador Local 1</t>
  </si>
  <si>
    <t>192.168.4.22</t>
  </si>
  <si>
    <t>Centro de Distribuição 2 - T.I 1</t>
  </si>
  <si>
    <t>192.168.4.62</t>
  </si>
  <si>
    <t>Centro de Distribuição 2 - Expedição 1</t>
  </si>
  <si>
    <t>192.168.4.42</t>
  </si>
  <si>
    <t>Centro de Distribuição 2 - Expedição 2</t>
  </si>
  <si>
    <t>192.168.4.43</t>
  </si>
  <si>
    <t>Cálculo de Links de dados e de Internet</t>
  </si>
  <si>
    <t>Necessidades Corporativas</t>
  </si>
  <si>
    <t>Matriz = XX</t>
  </si>
  <si>
    <t>Filial 1 = XX</t>
  </si>
  <si>
    <t>Filial 2 = XX</t>
  </si>
  <si>
    <t>Aplicação</t>
  </si>
  <si>
    <t>Requisitos (kbps</t>
  </si>
  <si>
    <t>Total (kbps)</t>
  </si>
  <si>
    <t>Internet Banking</t>
  </si>
  <si>
    <t>Videoconferência</t>
  </si>
  <si>
    <t>Sistema Legado</t>
  </si>
  <si>
    <t>Suporte Remoto</t>
  </si>
  <si>
    <t>Web</t>
  </si>
  <si>
    <t>E-mail</t>
  </si>
  <si>
    <t>Total App</t>
  </si>
  <si>
    <t>Total Internet</t>
  </si>
  <si>
    <t>Link Internet</t>
  </si>
  <si>
    <t>Link Matriz &lt;--&gt; Filial 1</t>
  </si>
  <si>
    <t>Link Matriz &lt;--&gt; Filial 2</t>
  </si>
  <si>
    <t>Residencial (Servidor VPN)</t>
  </si>
  <si>
    <t>Redutor capacid.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</si>
</sst>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R$-416]\ * #,##0.00_-;\-[$R$-416]\ * #,##0.00_-;_-[$R$-416]\ * \-??_-;_-@"/>
  </numFmts>
  <fonts count="12">
    <font>
      <sz val="11.0"/>
      <color rgb="FF000000"/>
      <name val="Calibri"/>
      <scheme val="minor"/>
    </font>
    <font>
      <sz val="14.0"/>
      <color rgb="FF203864"/>
      <name val="Calibri"/>
    </font>
    <font/>
    <font>
      <sz val="12.0"/>
      <color rgb="FF203864"/>
      <name val="Calibri"/>
    </font>
    <font>
      <sz val="11.0"/>
      <color rgb="FF203864"/>
      <name val="Calibri"/>
    </font>
    <font>
      <sz val="11.0"/>
      <color rgb="FF203864"/>
      <name val="Roboto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9D18E"/>
        <bgColor rgb="FFA9D18E"/>
      </patternFill>
    </fill>
    <fill>
      <patternFill patternType="solid">
        <fgColor rgb="FFE2F0D9"/>
        <bgColor rgb="FFE2F0D9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C6E0B4"/>
        <bgColor rgb="FFC6E0B4"/>
      </patternFill>
    </fill>
    <fill>
      <patternFill patternType="solid">
        <fgColor theme="0"/>
        <bgColor theme="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25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bottom" wrapText="0"/>
    </xf>
    <xf borderId="4" fillId="3" fontId="3" numFmtId="0" xfId="0" applyAlignment="1" applyBorder="1" applyFont="1">
      <alignment horizontal="center" readingOrder="0" shrinkToFit="0" vertical="bottom" wrapText="0"/>
    </xf>
    <xf borderId="4" fillId="3" fontId="3" numFmtId="0" xfId="0" applyAlignment="1" applyBorder="1" applyFont="1">
      <alignment shrinkToFit="0" vertical="bottom" wrapText="0"/>
    </xf>
    <xf borderId="4" fillId="4" fontId="4" numFmtId="0" xfId="0" applyAlignment="1" applyBorder="1" applyFill="1" applyFont="1">
      <alignment shrinkToFit="0" vertical="bottom" wrapText="0"/>
    </xf>
    <xf borderId="4" fillId="5" fontId="4" numFmtId="0" xfId="0" applyAlignment="1" applyBorder="1" applyFill="1" applyFont="1">
      <alignment readingOrder="0" shrinkToFit="0" vertical="bottom" wrapText="0"/>
    </xf>
    <xf borderId="4" fillId="4" fontId="4" numFmtId="0" xfId="0" applyAlignment="1" applyBorder="1" applyFont="1">
      <alignment readingOrder="0" shrinkToFit="0" vertical="bottom" wrapText="0"/>
    </xf>
    <xf borderId="4" fillId="4" fontId="4" numFmtId="164" xfId="0" applyAlignment="1" applyBorder="1" applyFont="1" applyNumberFormat="1">
      <alignment readingOrder="0" shrinkToFit="0" vertical="bottom" wrapText="0"/>
    </xf>
    <xf borderId="4" fillId="4" fontId="4" numFmtId="164" xfId="0" applyAlignment="1" applyBorder="1" applyFont="1" applyNumberFormat="1">
      <alignment shrinkToFit="0" vertical="bottom" wrapText="0"/>
    </xf>
    <xf borderId="4" fillId="4" fontId="1" numFmtId="0" xfId="0" applyAlignment="1" applyBorder="1" applyFont="1">
      <alignment shrinkToFit="0" vertical="bottom" wrapText="0"/>
    </xf>
    <xf borderId="4" fillId="5" fontId="5" numFmtId="0" xfId="0" applyAlignment="1" applyBorder="1" applyFont="1">
      <alignment horizontal="left" readingOrder="0"/>
    </xf>
    <xf borderId="4" fillId="5" fontId="5" numFmtId="0" xfId="0" applyAlignment="1" applyBorder="1" applyFont="1">
      <alignment horizontal="left" readingOrder="0"/>
    </xf>
    <xf borderId="4" fillId="5" fontId="4" numFmtId="0" xfId="0" applyAlignment="1" applyBorder="1" applyFont="1">
      <alignment horizontal="left" readingOrder="0"/>
    </xf>
    <xf borderId="4" fillId="5" fontId="4" numFmtId="0" xfId="0" applyAlignment="1" applyBorder="1" applyFont="1">
      <alignment readingOrder="0"/>
    </xf>
    <xf borderId="5" fillId="4" fontId="6" numFmtId="0" xfId="0" applyAlignment="1" applyBorder="1" applyFont="1">
      <alignment shrinkToFit="0" vertical="bottom" wrapText="0"/>
    </xf>
    <xf borderId="4" fillId="4" fontId="4" numFmtId="3" xfId="0" applyAlignment="1" applyBorder="1" applyFont="1" applyNumberFormat="1">
      <alignment readingOrder="0" shrinkToFit="0" vertical="bottom" wrapText="0"/>
    </xf>
    <xf borderId="1" fillId="2" fontId="1" numFmtId="0" xfId="0" applyAlignment="1" applyBorder="1" applyFont="1">
      <alignment horizontal="center" readingOrder="0" vertical="bottom"/>
    </xf>
    <xf borderId="4" fillId="3" fontId="3" numFmtId="0" xfId="0" applyAlignment="1" applyBorder="1" applyFont="1">
      <alignment horizontal="center" vertical="bottom"/>
    </xf>
    <xf borderId="4" fillId="3" fontId="3" numFmtId="0" xfId="0" applyAlignment="1" applyBorder="1" applyFont="1">
      <alignment horizontal="center" vertical="bottom"/>
    </xf>
    <xf borderId="4" fillId="3" fontId="3" numFmtId="164" xfId="0" applyAlignment="1" applyBorder="1" applyFont="1" applyNumberFormat="1">
      <alignment horizontal="center" vertical="bottom"/>
    </xf>
    <xf borderId="4" fillId="3" fontId="3" numFmtId="0" xfId="0" applyAlignment="1" applyBorder="1" applyFont="1">
      <alignment vertical="bottom"/>
    </xf>
    <xf borderId="4" fillId="3" fontId="7" numFmtId="0" xfId="0" applyAlignment="1" applyBorder="1" applyFont="1">
      <alignment vertical="bottom"/>
    </xf>
    <xf borderId="4" fillId="4" fontId="4" numFmtId="0" xfId="0" applyAlignment="1" applyBorder="1" applyFont="1">
      <alignment vertical="bottom"/>
    </xf>
    <xf borderId="4" fillId="5" fontId="5" numFmtId="0" xfId="0" applyAlignment="1" applyBorder="1" applyFont="1">
      <alignment vertical="bottom"/>
    </xf>
    <xf borderId="4" fillId="4" fontId="4" numFmtId="0" xfId="0" applyAlignment="1" applyBorder="1" applyFont="1">
      <alignment vertical="bottom"/>
    </xf>
    <xf borderId="4" fillId="4" fontId="4" numFmtId="0" xfId="0" applyAlignment="1" applyBorder="1" applyFont="1">
      <alignment horizontal="right" vertical="bottom"/>
    </xf>
    <xf borderId="4" fillId="4" fontId="4" numFmtId="164" xfId="0" applyAlignment="1" applyBorder="1" applyFont="1" applyNumberFormat="1">
      <alignment horizontal="right" vertical="bottom"/>
    </xf>
    <xf borderId="4" fillId="4" fontId="7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4" fillId="4" fontId="4" numFmtId="0" xfId="0" applyAlignment="1" applyBorder="1" applyFont="1">
      <alignment readingOrder="0" vertical="bottom"/>
    </xf>
    <xf borderId="4" fillId="4" fontId="4" numFmtId="0" xfId="0" applyAlignment="1" applyBorder="1" applyFont="1">
      <alignment horizontal="right" readingOrder="0" vertical="bottom"/>
    </xf>
    <xf borderId="5" fillId="6" fontId="6" numFmtId="0" xfId="0" applyAlignment="1" applyBorder="1" applyFill="1" applyFont="1">
      <alignment shrinkToFit="0" vertical="bottom" wrapText="0"/>
    </xf>
    <xf borderId="4" fillId="5" fontId="4" numFmtId="0" xfId="0" applyAlignment="1" applyBorder="1" applyFont="1">
      <alignment horizontal="right" readingOrder="0" vertical="bottom"/>
    </xf>
    <xf borderId="4" fillId="5" fontId="4" numFmtId="0" xfId="0" applyAlignment="1" applyBorder="1" applyFont="1">
      <alignment horizontal="right" vertical="bottom"/>
    </xf>
    <xf borderId="4" fillId="4" fontId="7" numFmtId="0" xfId="0" applyAlignment="1" applyBorder="1" applyFont="1">
      <alignment vertical="bottom"/>
    </xf>
    <xf borderId="4" fillId="4" fontId="7" numFmtId="164" xfId="0" applyAlignment="1" applyBorder="1" applyFont="1" applyNumberFormat="1">
      <alignment vertical="bottom"/>
    </xf>
    <xf borderId="1" fillId="2" fontId="1" numFmtId="0" xfId="0" applyAlignment="1" applyBorder="1" applyFont="1">
      <alignment horizontal="center" shrinkToFit="0" vertical="center" wrapText="0"/>
    </xf>
    <xf borderId="4" fillId="4" fontId="4" numFmtId="0" xfId="0" applyAlignment="1" applyBorder="1" applyFont="1">
      <alignment readingOrder="0" shrinkToFit="0" vertical="bottom" wrapText="1"/>
    </xf>
    <xf borderId="4" fillId="4" fontId="4" numFmtId="0" xfId="0" applyAlignment="1" applyBorder="1" applyFont="1">
      <alignment readingOrder="0" shrinkToFit="0" vertical="center" wrapText="0"/>
    </xf>
    <xf borderId="4" fillId="4" fontId="4" numFmtId="3" xfId="0" applyAlignment="1" applyBorder="1" applyFont="1" applyNumberFormat="1">
      <alignment readingOrder="0" shrinkToFit="0" vertical="center" wrapText="0"/>
    </xf>
    <xf borderId="6" fillId="0" fontId="8" numFmtId="0" xfId="0" applyAlignment="1" applyBorder="1" applyFont="1">
      <alignment horizontal="center" shrinkToFit="0" vertical="bottom" wrapText="0"/>
    </xf>
    <xf borderId="7" fillId="0" fontId="2" numFmtId="0" xfId="0" applyBorder="1" applyFont="1"/>
    <xf borderId="8" fillId="0" fontId="2" numFmtId="0" xfId="0" applyBorder="1" applyFont="1"/>
    <xf borderId="9" fillId="7" fontId="8" numFmtId="0" xfId="0" applyAlignment="1" applyBorder="1" applyFill="1" applyFont="1">
      <alignment horizontal="center" shrinkToFit="0" vertical="bottom" wrapText="0"/>
    </xf>
    <xf borderId="10" fillId="0" fontId="2" numFmtId="0" xfId="0" applyBorder="1" applyFont="1"/>
    <xf borderId="9" fillId="7" fontId="8" numFmtId="0" xfId="0" applyAlignment="1" applyBorder="1" applyFont="1">
      <alignment horizontal="center" readingOrder="0" shrinkToFit="0" vertical="bottom" wrapText="0"/>
    </xf>
    <xf borderId="0" fillId="8" fontId="9" numFmtId="0" xfId="0" applyAlignment="1" applyFill="1" applyFont="1">
      <alignment readingOrder="0"/>
    </xf>
    <xf borderId="11" fillId="9" fontId="8" numFmtId="0" xfId="0" applyAlignment="1" applyBorder="1" applyFill="1" applyFont="1">
      <alignment shrinkToFit="0" vertical="bottom" wrapText="0"/>
    </xf>
    <xf borderId="12" fillId="9" fontId="8" numFmtId="0" xfId="0" applyAlignment="1" applyBorder="1" applyFont="1">
      <alignment shrinkToFit="0" vertical="bottom" wrapText="1"/>
    </xf>
    <xf borderId="13" fillId="9" fontId="8" numFmtId="0" xfId="0" applyAlignment="1" applyBorder="1" applyFont="1">
      <alignment shrinkToFit="0" vertical="bottom" wrapText="0"/>
    </xf>
    <xf borderId="0" fillId="8" fontId="10" numFmtId="0" xfId="0" applyAlignment="1" applyFont="1">
      <alignment readingOrder="0"/>
    </xf>
    <xf borderId="0" fillId="8" fontId="10" numFmtId="3" xfId="0" applyAlignment="1" applyFont="1" applyNumberFormat="1">
      <alignment readingOrder="0"/>
    </xf>
    <xf borderId="11" fillId="10" fontId="8" numFmtId="0" xfId="0" applyAlignment="1" applyBorder="1" applyFill="1" applyFont="1">
      <alignment shrinkToFit="0" vertical="bottom" wrapText="0"/>
    </xf>
    <xf borderId="12" fillId="10" fontId="8" numFmtId="0" xfId="0" applyAlignment="1" applyBorder="1" applyFont="1">
      <alignment shrinkToFit="0" vertical="bottom" wrapText="0"/>
    </xf>
    <xf borderId="11" fillId="10" fontId="8" numFmtId="0" xfId="0" applyAlignment="1" applyBorder="1" applyFont="1">
      <alignment readingOrder="0" shrinkToFit="0" vertical="bottom" wrapText="0"/>
    </xf>
    <xf borderId="13" fillId="10" fontId="8" numFmtId="3" xfId="0" applyAlignment="1" applyBorder="1" applyFont="1" applyNumberFormat="1">
      <alignment readingOrder="0" shrinkToFit="0" vertical="bottom" wrapText="0"/>
    </xf>
    <xf borderId="13" fillId="10" fontId="8" numFmtId="0" xfId="0" applyAlignment="1" applyBorder="1" applyFont="1">
      <alignment readingOrder="0" shrinkToFit="0" vertical="bottom" wrapText="0"/>
    </xf>
    <xf borderId="11" fillId="0" fontId="8" numFmtId="0" xfId="0" applyAlignment="1" applyBorder="1" applyFont="1">
      <alignment shrinkToFit="0" vertical="bottom" wrapText="0"/>
    </xf>
    <xf borderId="14" fillId="0" fontId="8" numFmtId="0" xfId="0" applyAlignment="1" applyBorder="1" applyFont="1">
      <alignment shrinkToFit="0" vertical="bottom" wrapText="0"/>
    </xf>
    <xf borderId="11" fillId="0" fontId="8" numFmtId="0" xfId="0" applyAlignment="1" applyBorder="1" applyFont="1">
      <alignment readingOrder="0" shrinkToFit="0" vertical="bottom" wrapText="0"/>
    </xf>
    <xf borderId="13" fillId="0" fontId="8" numFmtId="3" xfId="0" applyAlignment="1" applyBorder="1" applyFont="1" applyNumberFormat="1">
      <alignment readingOrder="0" shrinkToFit="0" vertical="bottom" wrapText="0"/>
    </xf>
    <xf borderId="13" fillId="0" fontId="8" numFmtId="0" xfId="0" applyAlignment="1" applyBorder="1" applyFont="1">
      <alignment readingOrder="0" shrinkToFit="0" vertical="bottom" wrapText="0"/>
    </xf>
    <xf borderId="0" fillId="8" fontId="11" numFmtId="0" xfId="0" applyAlignment="1" applyFont="1">
      <alignment readingOrder="0"/>
    </xf>
    <xf borderId="0" fillId="8" fontId="11" numFmtId="3" xfId="0" applyAlignment="1" applyFont="1" applyNumberFormat="1">
      <alignment readingOrder="0"/>
    </xf>
    <xf borderId="15" fillId="0" fontId="8" numFmtId="0" xfId="0" applyAlignment="1" applyBorder="1" applyFont="1">
      <alignment shrinkToFit="0" vertical="bottom" wrapText="0"/>
    </xf>
    <xf borderId="16" fillId="0" fontId="8" numFmtId="0" xfId="0" applyAlignment="1" applyBorder="1" applyFont="1">
      <alignment shrinkToFit="0" vertical="bottom" wrapText="0"/>
    </xf>
    <xf borderId="13" fillId="0" fontId="8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17" fillId="0" fontId="8" numFmtId="0" xfId="0" applyAlignment="1" applyBorder="1" applyFont="1">
      <alignment shrinkToFit="0" vertical="bottom" wrapText="0"/>
    </xf>
    <xf borderId="18" fillId="0" fontId="2" numFmtId="0" xfId="0" applyBorder="1" applyFont="1"/>
    <xf borderId="13" fillId="0" fontId="8" numFmtId="3" xfId="0" applyAlignment="1" applyBorder="1" applyFont="1" applyNumberFormat="1">
      <alignment shrinkToFit="0" vertical="bottom" wrapText="0"/>
    </xf>
    <xf borderId="19" fillId="0" fontId="8" numFmtId="0" xfId="0" applyAlignment="1" applyBorder="1" applyFont="1">
      <alignment shrinkToFit="0" vertical="bottom" wrapText="0"/>
    </xf>
    <xf borderId="17" fillId="11" fontId="8" numFmtId="0" xfId="0" applyAlignment="1" applyBorder="1" applyFill="1" applyFont="1">
      <alignment horizontal="center" shrinkToFit="0" vertical="bottom" wrapText="0"/>
    </xf>
    <xf borderId="20" fillId="0" fontId="2" numFmtId="0" xfId="0" applyBorder="1" applyFont="1"/>
    <xf borderId="21" fillId="0" fontId="8" numFmtId="0" xfId="0" applyAlignment="1" applyBorder="1" applyFont="1">
      <alignment shrinkToFit="0" vertical="bottom" wrapText="0"/>
    </xf>
    <xf borderId="22" fillId="0" fontId="8" numFmtId="0" xfId="0" applyAlignment="1" applyBorder="1" applyFont="1">
      <alignment shrinkToFit="0" vertical="bottom" wrapText="0"/>
    </xf>
    <xf borderId="23" fillId="0" fontId="8" numFmtId="3" xfId="0" applyAlignment="1" applyBorder="1" applyFont="1" applyNumberFormat="1">
      <alignment horizontal="center" shrinkToFit="0" vertical="bottom" wrapText="0"/>
    </xf>
    <xf borderId="24" fillId="0" fontId="2" numFmtId="0" xfId="0" applyBorder="1" applyFont="1"/>
    <xf borderId="23" fillId="0" fontId="8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51.71"/>
    <col customWidth="1" min="3" max="3" width="17.71"/>
    <col customWidth="1" min="4" max="4" width="12.86"/>
    <col customWidth="1" min="5" max="5" width="12.43"/>
    <col customWidth="1" min="6" max="6" width="16.57"/>
    <col customWidth="1" min="7" max="7" width="18.14"/>
    <col customWidth="1" min="8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6" t="s">
        <v>8</v>
      </c>
      <c r="I2" s="6"/>
    </row>
    <row r="3">
      <c r="A3" s="7" t="s">
        <v>9</v>
      </c>
      <c r="B3" s="8" t="s">
        <v>10</v>
      </c>
      <c r="C3" s="9" t="s">
        <v>11</v>
      </c>
      <c r="D3" s="9" t="s">
        <v>12</v>
      </c>
      <c r="E3" s="9">
        <v>2.0</v>
      </c>
      <c r="F3" s="10">
        <v>14300.0</v>
      </c>
      <c r="G3" s="11">
        <f t="shared" ref="G3:G8" si="1">E3*F3</f>
        <v>28600</v>
      </c>
      <c r="H3" s="12"/>
      <c r="I3" s="12"/>
    </row>
    <row r="4">
      <c r="A4" s="7" t="s">
        <v>9</v>
      </c>
      <c r="B4" s="13" t="s">
        <v>13</v>
      </c>
      <c r="C4" s="9" t="s">
        <v>14</v>
      </c>
      <c r="D4" s="9" t="s">
        <v>15</v>
      </c>
      <c r="E4" s="9">
        <v>4.0</v>
      </c>
      <c r="F4" s="10">
        <v>4500.0</v>
      </c>
      <c r="G4" s="11">
        <f t="shared" si="1"/>
        <v>18000</v>
      </c>
      <c r="H4" s="12"/>
      <c r="I4" s="12"/>
    </row>
    <row r="5">
      <c r="A5" s="7" t="s">
        <v>9</v>
      </c>
      <c r="B5" s="13" t="s">
        <v>13</v>
      </c>
      <c r="C5" s="9" t="s">
        <v>14</v>
      </c>
      <c r="D5" s="9" t="s">
        <v>16</v>
      </c>
      <c r="E5" s="9">
        <v>4.0</v>
      </c>
      <c r="F5" s="10">
        <v>4500.0</v>
      </c>
      <c r="G5" s="11">
        <f t="shared" si="1"/>
        <v>18000</v>
      </c>
      <c r="H5" s="12"/>
      <c r="I5" s="12"/>
    </row>
    <row r="6">
      <c r="A6" s="7" t="s">
        <v>9</v>
      </c>
      <c r="B6" s="13" t="s">
        <v>13</v>
      </c>
      <c r="C6" s="9" t="s">
        <v>14</v>
      </c>
      <c r="D6" s="9" t="s">
        <v>17</v>
      </c>
      <c r="E6" s="9">
        <v>2.0</v>
      </c>
      <c r="F6" s="10">
        <v>4500.0</v>
      </c>
      <c r="G6" s="11">
        <f t="shared" si="1"/>
        <v>9000</v>
      </c>
      <c r="H6" s="12"/>
      <c r="I6" s="12"/>
    </row>
    <row r="7">
      <c r="A7" s="7" t="s">
        <v>9</v>
      </c>
      <c r="B7" s="13" t="s">
        <v>13</v>
      </c>
      <c r="C7" s="9" t="s">
        <v>14</v>
      </c>
      <c r="D7" s="9" t="s">
        <v>18</v>
      </c>
      <c r="E7" s="9">
        <v>3.0</v>
      </c>
      <c r="F7" s="10">
        <v>6100.0</v>
      </c>
      <c r="G7" s="11">
        <f t="shared" si="1"/>
        <v>18300</v>
      </c>
      <c r="H7" s="12"/>
      <c r="I7" s="12"/>
    </row>
    <row r="8">
      <c r="A8" s="7" t="s">
        <v>19</v>
      </c>
      <c r="B8" s="14" t="s">
        <v>20</v>
      </c>
      <c r="C8" s="9" t="s">
        <v>14</v>
      </c>
      <c r="D8" s="9" t="s">
        <v>18</v>
      </c>
      <c r="E8" s="9">
        <v>1.0</v>
      </c>
      <c r="F8" s="10">
        <v>23009.0</v>
      </c>
      <c r="G8" s="11">
        <f t="shared" si="1"/>
        <v>23009</v>
      </c>
      <c r="H8" s="12"/>
      <c r="I8" s="12"/>
    </row>
    <row r="9">
      <c r="A9" s="7" t="s">
        <v>21</v>
      </c>
      <c r="B9" s="9" t="s">
        <v>22</v>
      </c>
      <c r="C9" s="9" t="s">
        <v>23</v>
      </c>
      <c r="D9" s="9" t="s">
        <v>24</v>
      </c>
      <c r="E9" s="9">
        <v>1.0</v>
      </c>
      <c r="F9" s="10">
        <v>548.56</v>
      </c>
      <c r="G9" s="11">
        <f>F9</f>
        <v>548.56</v>
      </c>
      <c r="H9" s="12"/>
      <c r="I9" s="12"/>
    </row>
    <row r="10">
      <c r="A10" s="7" t="s">
        <v>25</v>
      </c>
      <c r="B10" s="15" t="s">
        <v>26</v>
      </c>
      <c r="C10" s="9" t="s">
        <v>27</v>
      </c>
      <c r="D10" s="9" t="s">
        <v>12</v>
      </c>
      <c r="E10" s="9">
        <v>2.0</v>
      </c>
      <c r="F10" s="10">
        <v>990.0</v>
      </c>
      <c r="G10" s="11">
        <f t="shared" ref="G10:G31" si="2">E10*F10</f>
        <v>1980</v>
      </c>
      <c r="H10" s="12"/>
      <c r="I10" s="12"/>
    </row>
    <row r="11">
      <c r="A11" s="7" t="s">
        <v>25</v>
      </c>
      <c r="B11" s="16" t="s">
        <v>28</v>
      </c>
      <c r="C11" s="9" t="s">
        <v>29</v>
      </c>
      <c r="D11" s="9" t="s">
        <v>15</v>
      </c>
      <c r="E11" s="9">
        <v>4.0</v>
      </c>
      <c r="F11" s="10">
        <v>450.0</v>
      </c>
      <c r="G11" s="11">
        <f t="shared" si="2"/>
        <v>1800</v>
      </c>
      <c r="H11" s="12"/>
      <c r="I11" s="12"/>
    </row>
    <row r="12">
      <c r="A12" s="7" t="s">
        <v>25</v>
      </c>
      <c r="B12" s="16" t="s">
        <v>28</v>
      </c>
      <c r="C12" s="9" t="s">
        <v>29</v>
      </c>
      <c r="D12" s="9" t="s">
        <v>16</v>
      </c>
      <c r="E12" s="9">
        <v>4.0</v>
      </c>
      <c r="F12" s="10">
        <v>450.0</v>
      </c>
      <c r="G12" s="11">
        <f t="shared" si="2"/>
        <v>1800</v>
      </c>
      <c r="H12" s="12"/>
      <c r="I12" s="12"/>
    </row>
    <row r="13">
      <c r="A13" s="7" t="s">
        <v>25</v>
      </c>
      <c r="B13" s="16" t="s">
        <v>28</v>
      </c>
      <c r="C13" s="9" t="s">
        <v>29</v>
      </c>
      <c r="D13" s="9" t="s">
        <v>17</v>
      </c>
      <c r="E13" s="9">
        <v>2.0</v>
      </c>
      <c r="F13" s="10">
        <v>450.0</v>
      </c>
      <c r="G13" s="11">
        <f t="shared" si="2"/>
        <v>900</v>
      </c>
      <c r="H13" s="12"/>
      <c r="I13" s="12"/>
    </row>
    <row r="14">
      <c r="A14" s="7" t="s">
        <v>25</v>
      </c>
      <c r="B14" s="16" t="s">
        <v>28</v>
      </c>
      <c r="C14" s="9" t="s">
        <v>29</v>
      </c>
      <c r="D14" s="9" t="s">
        <v>18</v>
      </c>
      <c r="E14" s="9">
        <v>3.0</v>
      </c>
      <c r="F14" s="10">
        <v>450.0</v>
      </c>
      <c r="G14" s="11">
        <f t="shared" si="2"/>
        <v>1350</v>
      </c>
      <c r="H14" s="12"/>
      <c r="I14" s="12"/>
    </row>
    <row r="15">
      <c r="A15" s="7" t="s">
        <v>30</v>
      </c>
      <c r="B15" s="15" t="s">
        <v>31</v>
      </c>
      <c r="C15" s="9" t="s">
        <v>32</v>
      </c>
      <c r="D15" s="9" t="s">
        <v>12</v>
      </c>
      <c r="E15" s="9">
        <v>2.0</v>
      </c>
      <c r="F15" s="10">
        <v>2050.0</v>
      </c>
      <c r="G15" s="11">
        <f t="shared" si="2"/>
        <v>4100</v>
      </c>
      <c r="H15" s="12"/>
      <c r="I15" s="12"/>
    </row>
    <row r="16">
      <c r="A16" s="7" t="s">
        <v>30</v>
      </c>
      <c r="B16" s="15" t="s">
        <v>33</v>
      </c>
      <c r="C16" s="9" t="s">
        <v>32</v>
      </c>
      <c r="D16" s="9" t="s">
        <v>15</v>
      </c>
      <c r="E16" s="9">
        <v>4.0</v>
      </c>
      <c r="F16" s="10">
        <v>665.0</v>
      </c>
      <c r="G16" s="11">
        <f t="shared" si="2"/>
        <v>2660</v>
      </c>
      <c r="H16" s="12"/>
      <c r="I16" s="12"/>
    </row>
    <row r="17">
      <c r="A17" s="7" t="s">
        <v>30</v>
      </c>
      <c r="B17" s="15" t="s">
        <v>33</v>
      </c>
      <c r="C17" s="9" t="s">
        <v>32</v>
      </c>
      <c r="D17" s="9" t="s">
        <v>16</v>
      </c>
      <c r="E17" s="9">
        <v>4.0</v>
      </c>
      <c r="F17" s="10">
        <v>665.0</v>
      </c>
      <c r="G17" s="11">
        <f t="shared" si="2"/>
        <v>2660</v>
      </c>
      <c r="H17" s="12"/>
      <c r="I17" s="12"/>
    </row>
    <row r="18">
      <c r="A18" s="7" t="s">
        <v>30</v>
      </c>
      <c r="B18" s="15" t="s">
        <v>33</v>
      </c>
      <c r="C18" s="9" t="s">
        <v>32</v>
      </c>
      <c r="D18" s="9" t="s">
        <v>17</v>
      </c>
      <c r="E18" s="9">
        <v>2.0</v>
      </c>
      <c r="F18" s="10">
        <v>665.0</v>
      </c>
      <c r="G18" s="11">
        <f t="shared" si="2"/>
        <v>1330</v>
      </c>
      <c r="H18" s="12"/>
      <c r="I18" s="12"/>
    </row>
    <row r="19">
      <c r="A19" s="7" t="s">
        <v>30</v>
      </c>
      <c r="B19" s="15" t="s">
        <v>33</v>
      </c>
      <c r="C19" s="9" t="s">
        <v>32</v>
      </c>
      <c r="D19" s="9" t="s">
        <v>18</v>
      </c>
      <c r="E19" s="9">
        <v>3.0</v>
      </c>
      <c r="F19" s="10">
        <v>665.0</v>
      </c>
      <c r="G19" s="11">
        <f t="shared" si="2"/>
        <v>1995</v>
      </c>
      <c r="H19" s="12"/>
      <c r="I19" s="12"/>
    </row>
    <row r="20" ht="14.25" customHeight="1">
      <c r="A20" s="7" t="s">
        <v>34</v>
      </c>
      <c r="B20" s="16" t="s">
        <v>35</v>
      </c>
      <c r="C20" s="9" t="s">
        <v>36</v>
      </c>
      <c r="D20" s="9" t="s">
        <v>12</v>
      </c>
      <c r="E20" s="9">
        <v>2.0</v>
      </c>
      <c r="F20" s="10">
        <v>99.0</v>
      </c>
      <c r="G20" s="11">
        <f t="shared" si="2"/>
        <v>198</v>
      </c>
      <c r="H20" s="12"/>
      <c r="I20" s="12"/>
    </row>
    <row r="21" ht="14.25" customHeight="1">
      <c r="A21" s="7" t="s">
        <v>34</v>
      </c>
      <c r="B21" s="16" t="s">
        <v>35</v>
      </c>
      <c r="C21" s="9" t="s">
        <v>36</v>
      </c>
      <c r="D21" s="9" t="s">
        <v>15</v>
      </c>
      <c r="E21" s="9">
        <v>4.0</v>
      </c>
      <c r="F21" s="10">
        <v>99.0</v>
      </c>
      <c r="G21" s="11">
        <f t="shared" si="2"/>
        <v>396</v>
      </c>
      <c r="H21" s="12"/>
      <c r="I21" s="12"/>
    </row>
    <row r="22" ht="14.25" customHeight="1">
      <c r="A22" s="7" t="s">
        <v>34</v>
      </c>
      <c r="B22" s="16" t="s">
        <v>35</v>
      </c>
      <c r="C22" s="9" t="s">
        <v>36</v>
      </c>
      <c r="D22" s="9" t="s">
        <v>16</v>
      </c>
      <c r="E22" s="9">
        <v>4.0</v>
      </c>
      <c r="F22" s="10">
        <v>99.0</v>
      </c>
      <c r="G22" s="11">
        <f t="shared" si="2"/>
        <v>396</v>
      </c>
      <c r="H22" s="12"/>
      <c r="I22" s="12"/>
    </row>
    <row r="23" ht="14.25" customHeight="1">
      <c r="A23" s="7" t="s">
        <v>34</v>
      </c>
      <c r="B23" s="16" t="s">
        <v>35</v>
      </c>
      <c r="C23" s="9" t="s">
        <v>36</v>
      </c>
      <c r="D23" s="9" t="s">
        <v>17</v>
      </c>
      <c r="E23" s="9">
        <v>2.0</v>
      </c>
      <c r="F23" s="10">
        <v>99.0</v>
      </c>
      <c r="G23" s="11">
        <f t="shared" si="2"/>
        <v>198</v>
      </c>
      <c r="H23" s="12"/>
      <c r="I23" s="12"/>
    </row>
    <row r="24" ht="14.25" customHeight="1">
      <c r="A24" s="7" t="s">
        <v>34</v>
      </c>
      <c r="B24" s="16" t="s">
        <v>35</v>
      </c>
      <c r="C24" s="9" t="s">
        <v>36</v>
      </c>
      <c r="D24" s="9" t="s">
        <v>18</v>
      </c>
      <c r="E24" s="9">
        <v>3.0</v>
      </c>
      <c r="F24" s="10">
        <v>99.0</v>
      </c>
      <c r="G24" s="11">
        <f t="shared" si="2"/>
        <v>297</v>
      </c>
      <c r="H24" s="12"/>
      <c r="I24" s="12"/>
    </row>
    <row r="25">
      <c r="A25" s="7" t="s">
        <v>37</v>
      </c>
      <c r="B25" s="9" t="s">
        <v>38</v>
      </c>
      <c r="C25" s="9" t="s">
        <v>39</v>
      </c>
      <c r="D25" s="9" t="s">
        <v>18</v>
      </c>
      <c r="E25" s="9">
        <v>1.0</v>
      </c>
      <c r="F25" s="10">
        <v>4243.5</v>
      </c>
      <c r="G25" s="11">
        <f t="shared" si="2"/>
        <v>4243.5</v>
      </c>
      <c r="H25" s="12"/>
      <c r="I25" s="12"/>
    </row>
    <row r="26">
      <c r="A26" s="7" t="s">
        <v>40</v>
      </c>
      <c r="B26" s="9" t="s">
        <v>41</v>
      </c>
      <c r="C26" s="9" t="s">
        <v>42</v>
      </c>
      <c r="D26" s="9" t="s">
        <v>24</v>
      </c>
      <c r="E26" s="9">
        <v>1.0</v>
      </c>
      <c r="F26" s="10">
        <v>1500.0</v>
      </c>
      <c r="G26" s="11">
        <f t="shared" si="2"/>
        <v>1500</v>
      </c>
      <c r="H26" s="12"/>
      <c r="I26" s="12"/>
    </row>
    <row r="27">
      <c r="A27" s="7" t="s">
        <v>43</v>
      </c>
      <c r="B27" s="9" t="s">
        <v>44</v>
      </c>
      <c r="C27" s="9" t="s">
        <v>42</v>
      </c>
      <c r="D27" s="9" t="s">
        <v>24</v>
      </c>
      <c r="E27" s="8">
        <v>30.0</v>
      </c>
      <c r="F27" s="10">
        <v>70.0</v>
      </c>
      <c r="G27" s="11">
        <f t="shared" si="2"/>
        <v>2100</v>
      </c>
      <c r="H27" s="12"/>
      <c r="I27" s="12"/>
    </row>
    <row r="28">
      <c r="A28" s="7" t="s">
        <v>45</v>
      </c>
      <c r="B28" s="9" t="s">
        <v>46</v>
      </c>
      <c r="C28" s="9" t="s">
        <v>42</v>
      </c>
      <c r="D28" s="9" t="s">
        <v>24</v>
      </c>
      <c r="E28" s="8">
        <v>100.0</v>
      </c>
      <c r="F28" s="10">
        <v>70.0</v>
      </c>
      <c r="G28" s="11">
        <f t="shared" si="2"/>
        <v>7000</v>
      </c>
      <c r="H28" s="12"/>
      <c r="I28" s="12"/>
    </row>
    <row r="29">
      <c r="A29" s="7" t="s">
        <v>47</v>
      </c>
      <c r="B29" s="9" t="s">
        <v>48</v>
      </c>
      <c r="C29" s="9" t="s">
        <v>42</v>
      </c>
      <c r="D29" s="9" t="s">
        <v>24</v>
      </c>
      <c r="E29" s="9">
        <v>30.0</v>
      </c>
      <c r="F29" s="10">
        <v>100.0</v>
      </c>
      <c r="G29" s="11">
        <f t="shared" si="2"/>
        <v>3000</v>
      </c>
      <c r="H29" s="12"/>
      <c r="I29" s="12"/>
    </row>
    <row r="30">
      <c r="A30" s="7" t="s">
        <v>49</v>
      </c>
      <c r="B30" s="9" t="s">
        <v>50</v>
      </c>
      <c r="C30" s="9" t="s">
        <v>42</v>
      </c>
      <c r="D30" s="9" t="s">
        <v>24</v>
      </c>
      <c r="E30" s="9">
        <v>2.0</v>
      </c>
      <c r="F30" s="10">
        <v>3000.0</v>
      </c>
      <c r="G30" s="11">
        <f t="shared" si="2"/>
        <v>6000</v>
      </c>
      <c r="H30" s="12"/>
      <c r="I30" s="12"/>
    </row>
    <row r="31">
      <c r="A31" s="7" t="s">
        <v>51</v>
      </c>
      <c r="B31" s="9" t="s">
        <v>52</v>
      </c>
      <c r="C31" s="9" t="s">
        <v>23</v>
      </c>
      <c r="D31" s="9" t="s">
        <v>24</v>
      </c>
      <c r="E31" s="9">
        <v>1.0</v>
      </c>
      <c r="F31" s="10">
        <v>7352.09</v>
      </c>
      <c r="G31" s="11">
        <f t="shared" si="2"/>
        <v>7352.09</v>
      </c>
      <c r="H31" s="12"/>
      <c r="I31" s="12"/>
    </row>
    <row r="32">
      <c r="A32" s="7"/>
      <c r="B32" s="7"/>
      <c r="C32" s="7"/>
      <c r="D32" s="7"/>
      <c r="E32" s="7"/>
      <c r="F32" s="11"/>
      <c r="G32" s="11"/>
      <c r="H32" s="12"/>
      <c r="I32" s="12"/>
    </row>
    <row r="33">
      <c r="A33" s="7"/>
      <c r="B33" s="7"/>
      <c r="C33" s="7"/>
      <c r="D33" s="7"/>
      <c r="E33" s="7"/>
      <c r="F33" s="11"/>
      <c r="G33" s="11"/>
      <c r="H33" s="12"/>
      <c r="I33" s="12"/>
    </row>
    <row r="34">
      <c r="A34" s="7"/>
      <c r="B34" s="7"/>
      <c r="C34" s="7"/>
      <c r="D34" s="7"/>
      <c r="E34" s="7"/>
      <c r="F34" s="11"/>
      <c r="G34" s="11"/>
      <c r="H34" s="12"/>
      <c r="I34" s="12"/>
    </row>
    <row r="35">
      <c r="A35" s="7"/>
      <c r="B35" s="7"/>
      <c r="C35" s="7"/>
      <c r="D35" s="7"/>
      <c r="E35" s="7"/>
      <c r="F35" s="11"/>
      <c r="G35" s="11"/>
      <c r="H35" s="12"/>
      <c r="I35" s="12"/>
    </row>
    <row r="36">
      <c r="A36" s="7"/>
      <c r="B36" s="7"/>
      <c r="C36" s="7"/>
      <c r="D36" s="7"/>
      <c r="E36" s="7"/>
      <c r="F36" s="11"/>
      <c r="G36" s="11"/>
      <c r="H36" s="12"/>
      <c r="I36" s="12"/>
    </row>
    <row r="37" ht="15.75" customHeight="1">
      <c r="A37" s="7"/>
      <c r="B37" s="7"/>
      <c r="C37" s="7"/>
      <c r="D37" s="7"/>
      <c r="E37" s="7"/>
      <c r="F37" s="11"/>
      <c r="G37" s="11"/>
      <c r="H37" s="12"/>
      <c r="I37" s="12"/>
    </row>
    <row r="38" ht="15.75" customHeight="1">
      <c r="A38" s="7"/>
      <c r="B38" s="7"/>
      <c r="C38" s="7"/>
      <c r="D38" s="7"/>
      <c r="E38" s="7"/>
      <c r="F38" s="11"/>
      <c r="G38" s="11"/>
      <c r="H38" s="12"/>
      <c r="I38" s="12"/>
    </row>
    <row r="39" ht="15.75" customHeight="1">
      <c r="A39" s="7"/>
      <c r="B39" s="7"/>
      <c r="C39" s="7"/>
      <c r="D39" s="7"/>
      <c r="E39" s="7"/>
      <c r="F39" s="11"/>
      <c r="G39" s="11"/>
      <c r="H39" s="12"/>
      <c r="I39" s="12"/>
    </row>
    <row r="40" ht="15.75" customHeight="1">
      <c r="A40" s="7"/>
      <c r="B40" s="7"/>
      <c r="C40" s="7"/>
      <c r="D40" s="7"/>
      <c r="E40" s="7"/>
      <c r="F40" s="11"/>
      <c r="G40" s="11"/>
      <c r="H40" s="12"/>
      <c r="I40" s="12"/>
    </row>
    <row r="41" ht="15.75" customHeight="1">
      <c r="A41" s="7"/>
      <c r="B41" s="7"/>
      <c r="C41" s="7"/>
      <c r="D41" s="7"/>
      <c r="E41" s="7"/>
      <c r="F41" s="11"/>
      <c r="G41" s="11"/>
      <c r="H41" s="12"/>
      <c r="I41" s="12"/>
    </row>
    <row r="42" ht="15.75" customHeight="1">
      <c r="A42" s="7"/>
      <c r="B42" s="7"/>
      <c r="C42" s="7"/>
      <c r="D42" s="7"/>
      <c r="E42" s="7"/>
      <c r="F42" s="11"/>
      <c r="G42" s="11"/>
      <c r="H42" s="12"/>
      <c r="I42" s="12"/>
    </row>
    <row r="43" ht="15.75" customHeight="1">
      <c r="A43" s="7"/>
      <c r="B43" s="7"/>
      <c r="C43" s="7"/>
      <c r="D43" s="7"/>
      <c r="E43" s="7"/>
      <c r="F43" s="11"/>
      <c r="G43" s="11"/>
      <c r="H43" s="12"/>
      <c r="I43" s="12"/>
    </row>
    <row r="44" ht="15.75" customHeight="1">
      <c r="A44" s="7"/>
      <c r="B44" s="7"/>
      <c r="C44" s="7"/>
      <c r="D44" s="7"/>
      <c r="E44" s="7"/>
      <c r="F44" s="11"/>
      <c r="G44" s="11"/>
      <c r="H44" s="12"/>
      <c r="I44" s="12"/>
    </row>
    <row r="45" ht="15.75" customHeight="1">
      <c r="A45" s="7"/>
      <c r="B45" s="7"/>
      <c r="C45" s="7"/>
      <c r="D45" s="7"/>
      <c r="E45" s="7"/>
      <c r="F45" s="11"/>
      <c r="G45" s="11"/>
      <c r="H45" s="12"/>
      <c r="I45" s="12"/>
    </row>
    <row r="46" ht="15.75" customHeight="1">
      <c r="A46" s="7"/>
      <c r="B46" s="7"/>
      <c r="C46" s="7"/>
      <c r="D46" s="7"/>
      <c r="E46" s="7"/>
      <c r="F46" s="11"/>
      <c r="G46" s="11"/>
      <c r="H46" s="12"/>
      <c r="I46" s="12"/>
    </row>
    <row r="47" ht="15.75" customHeight="1">
      <c r="A47" s="7"/>
      <c r="B47" s="7"/>
      <c r="C47" s="7"/>
      <c r="D47" s="7"/>
      <c r="E47" s="7"/>
      <c r="F47" s="11"/>
      <c r="G47" s="11"/>
      <c r="H47" s="12"/>
      <c r="I47" s="12"/>
    </row>
    <row r="48" ht="15.75" customHeight="1">
      <c r="A48" s="7"/>
      <c r="B48" s="7"/>
      <c r="C48" s="7"/>
      <c r="D48" s="7"/>
      <c r="E48" s="7"/>
      <c r="F48" s="11"/>
      <c r="G48" s="11"/>
      <c r="H48" s="12"/>
      <c r="I48" s="12"/>
    </row>
    <row r="49" ht="15.75" customHeight="1">
      <c r="A49" s="7"/>
      <c r="B49" s="7"/>
      <c r="C49" s="7"/>
      <c r="D49" s="7"/>
      <c r="E49" s="7"/>
      <c r="F49" s="11"/>
      <c r="G49" s="11"/>
      <c r="H49" s="12"/>
      <c r="I49" s="12"/>
    </row>
    <row r="50" ht="15.75" customHeight="1">
      <c r="A50" s="7"/>
      <c r="B50" s="7"/>
      <c r="C50" s="7"/>
      <c r="D50" s="7"/>
      <c r="E50" s="7"/>
      <c r="F50" s="11"/>
      <c r="G50" s="11"/>
      <c r="H50" s="12"/>
      <c r="I50" s="12"/>
    </row>
    <row r="51" ht="15.75" customHeight="1">
      <c r="A51" s="7"/>
      <c r="B51" s="7"/>
      <c r="C51" s="7"/>
      <c r="D51" s="7"/>
      <c r="E51" s="7"/>
      <c r="F51" s="11"/>
      <c r="G51" s="11"/>
      <c r="H51" s="12"/>
      <c r="I51" s="12"/>
    </row>
    <row r="52" ht="15.75" customHeight="1">
      <c r="A52" s="7"/>
      <c r="B52" s="7"/>
      <c r="C52" s="7"/>
      <c r="D52" s="7"/>
      <c r="E52" s="7"/>
      <c r="F52" s="11"/>
      <c r="G52" s="11"/>
      <c r="H52" s="12"/>
      <c r="I52" s="12"/>
    </row>
    <row r="53" ht="15.75" customHeight="1">
      <c r="A53" s="7"/>
      <c r="B53" s="7"/>
      <c r="C53" s="7"/>
      <c r="D53" s="7"/>
      <c r="E53" s="7"/>
      <c r="F53" s="11"/>
      <c r="G53" s="11"/>
      <c r="H53" s="12"/>
      <c r="I53" s="12"/>
    </row>
    <row r="54" ht="15.75" customHeight="1">
      <c r="A54" s="7"/>
      <c r="B54" s="7"/>
      <c r="C54" s="7"/>
      <c r="D54" s="7"/>
      <c r="E54" s="7"/>
      <c r="F54" s="11"/>
      <c r="G54" s="11"/>
      <c r="H54" s="12"/>
      <c r="I54" s="12"/>
    </row>
    <row r="55" ht="15.75" customHeight="1">
      <c r="A55" s="7"/>
      <c r="B55" s="7"/>
      <c r="C55" s="7"/>
      <c r="D55" s="7"/>
      <c r="E55" s="7"/>
      <c r="F55" s="11"/>
      <c r="G55" s="11"/>
      <c r="H55" s="12"/>
      <c r="I55" s="12"/>
    </row>
    <row r="56" ht="15.75" customHeight="1">
      <c r="A56" s="7"/>
      <c r="B56" s="7"/>
      <c r="C56" s="7"/>
      <c r="D56" s="7"/>
      <c r="E56" s="7"/>
      <c r="F56" s="11"/>
      <c r="G56" s="11"/>
      <c r="H56" s="12"/>
      <c r="I56" s="12"/>
    </row>
    <row r="57" ht="15.75" customHeight="1">
      <c r="A57" s="7"/>
      <c r="B57" s="7"/>
      <c r="C57" s="7"/>
      <c r="D57" s="7"/>
      <c r="E57" s="7"/>
      <c r="F57" s="11"/>
      <c r="G57" s="11"/>
      <c r="H57" s="12"/>
      <c r="I57" s="12"/>
    </row>
    <row r="58" ht="15.75" customHeight="1">
      <c r="A58" s="7"/>
      <c r="B58" s="7"/>
      <c r="C58" s="7"/>
      <c r="D58" s="7"/>
      <c r="E58" s="7"/>
      <c r="F58" s="11"/>
      <c r="G58" s="11"/>
      <c r="H58" s="12"/>
      <c r="I58" s="12"/>
    </row>
    <row r="59" ht="15.75" customHeight="1">
      <c r="A59" s="7"/>
      <c r="B59" s="7"/>
      <c r="C59" s="7"/>
      <c r="D59" s="7"/>
      <c r="E59" s="7"/>
      <c r="F59" s="11"/>
      <c r="G59" s="11"/>
      <c r="H59" s="12"/>
      <c r="I59" s="12"/>
    </row>
    <row r="60" ht="15.75" customHeight="1">
      <c r="A60" s="7"/>
      <c r="B60" s="7"/>
      <c r="C60" s="7"/>
      <c r="D60" s="7"/>
      <c r="E60" s="7"/>
      <c r="F60" s="11"/>
      <c r="G60" s="11"/>
      <c r="H60" s="12"/>
      <c r="I60" s="12"/>
    </row>
    <row r="61" ht="15.75" customHeight="1">
      <c r="A61" s="7"/>
      <c r="B61" s="7"/>
      <c r="C61" s="7"/>
      <c r="D61" s="7"/>
      <c r="E61" s="7"/>
      <c r="F61" s="11"/>
      <c r="G61" s="11"/>
      <c r="H61" s="12"/>
      <c r="I61" s="12"/>
    </row>
    <row r="62" ht="15.75" customHeight="1">
      <c r="A62" s="7"/>
      <c r="B62" s="7"/>
      <c r="C62" s="7"/>
      <c r="D62" s="7"/>
      <c r="E62" s="7"/>
      <c r="F62" s="11"/>
      <c r="G62" s="11"/>
      <c r="H62" s="12"/>
      <c r="I62" s="12"/>
    </row>
    <row r="63" ht="15.75" customHeight="1">
      <c r="A63" s="7"/>
      <c r="B63" s="7"/>
      <c r="C63" s="7"/>
      <c r="D63" s="7"/>
      <c r="E63" s="7"/>
      <c r="F63" s="11"/>
      <c r="G63" s="11"/>
      <c r="H63" s="12"/>
      <c r="I63" s="12"/>
    </row>
    <row r="64" ht="15.75" customHeight="1">
      <c r="A64" s="7"/>
      <c r="B64" s="7"/>
      <c r="C64" s="7"/>
      <c r="D64" s="7"/>
      <c r="E64" s="7"/>
      <c r="F64" s="11"/>
      <c r="G64" s="11"/>
      <c r="H64" s="12"/>
      <c r="I64" s="12"/>
    </row>
    <row r="65" ht="15.75" customHeight="1">
      <c r="A65" s="7"/>
      <c r="B65" s="7"/>
      <c r="C65" s="7"/>
      <c r="D65" s="7"/>
      <c r="E65" s="7"/>
      <c r="F65" s="11"/>
      <c r="G65" s="11"/>
      <c r="H65" s="12"/>
      <c r="I65" s="12"/>
    </row>
    <row r="66" ht="15.75" customHeight="1">
      <c r="A66" s="7"/>
      <c r="B66" s="7"/>
      <c r="C66" s="7"/>
      <c r="D66" s="7"/>
      <c r="E66" s="7"/>
      <c r="F66" s="11"/>
      <c r="G66" s="11"/>
      <c r="H66" s="12"/>
      <c r="I66" s="12"/>
    </row>
    <row r="67" ht="15.75" customHeight="1">
      <c r="A67" s="7"/>
      <c r="B67" s="7"/>
      <c r="C67" s="7"/>
      <c r="D67" s="7"/>
      <c r="E67" s="7"/>
      <c r="F67" s="11"/>
      <c r="G67" s="11"/>
      <c r="H67" s="12"/>
      <c r="I67" s="12"/>
    </row>
    <row r="68" ht="15.75" customHeight="1">
      <c r="A68" s="7"/>
      <c r="B68" s="7"/>
      <c r="C68" s="7"/>
      <c r="D68" s="7"/>
      <c r="E68" s="7"/>
      <c r="F68" s="11"/>
      <c r="G68" s="11"/>
      <c r="H68" s="12"/>
      <c r="I68" s="12"/>
    </row>
    <row r="69" ht="15.75" customHeight="1">
      <c r="A69" s="7"/>
      <c r="B69" s="7"/>
      <c r="C69" s="7"/>
      <c r="D69" s="7"/>
      <c r="E69" s="7"/>
      <c r="F69" s="11"/>
      <c r="G69" s="11"/>
      <c r="H69" s="12"/>
      <c r="I69" s="12"/>
    </row>
    <row r="70" ht="15.75" customHeight="1">
      <c r="A70" s="7"/>
      <c r="B70" s="7"/>
      <c r="C70" s="7"/>
      <c r="D70" s="7"/>
      <c r="E70" s="7"/>
      <c r="F70" s="11"/>
      <c r="G70" s="11"/>
      <c r="H70" s="12"/>
      <c r="I70" s="12"/>
    </row>
    <row r="71" ht="15.75" customHeight="1">
      <c r="A71" s="7"/>
      <c r="B71" s="7"/>
      <c r="C71" s="7"/>
      <c r="D71" s="7"/>
      <c r="E71" s="7"/>
      <c r="F71" s="11"/>
      <c r="G71" s="11"/>
      <c r="H71" s="12"/>
      <c r="I71" s="12"/>
    </row>
    <row r="72" ht="15.75" customHeight="1">
      <c r="A72" s="7"/>
      <c r="B72" s="7"/>
      <c r="C72" s="7"/>
      <c r="D72" s="7"/>
      <c r="E72" s="7"/>
      <c r="F72" s="11"/>
      <c r="G72" s="11"/>
      <c r="H72" s="12"/>
      <c r="I72" s="12"/>
    </row>
    <row r="73" ht="15.75" customHeight="1">
      <c r="A73" s="7"/>
      <c r="B73" s="7"/>
      <c r="C73" s="7"/>
      <c r="D73" s="7"/>
      <c r="E73" s="7"/>
      <c r="F73" s="11"/>
      <c r="G73" s="11"/>
      <c r="H73" s="12"/>
      <c r="I73" s="12"/>
    </row>
    <row r="74" ht="15.75" customHeight="1">
      <c r="A74" s="7"/>
      <c r="B74" s="7"/>
      <c r="C74" s="7"/>
      <c r="D74" s="7"/>
      <c r="E74" s="7"/>
      <c r="F74" s="11"/>
      <c r="G74" s="11"/>
      <c r="H74" s="12"/>
      <c r="I74" s="12"/>
    </row>
    <row r="75" ht="15.75" customHeight="1">
      <c r="A75" s="7"/>
      <c r="B75" s="7"/>
      <c r="C75" s="7"/>
      <c r="D75" s="7"/>
      <c r="E75" s="7"/>
      <c r="F75" s="11"/>
      <c r="G75" s="11"/>
      <c r="H75" s="12"/>
      <c r="I75" s="12"/>
    </row>
    <row r="76" ht="15.75" customHeight="1">
      <c r="A76" s="7"/>
      <c r="B76" s="7"/>
      <c r="C76" s="7"/>
      <c r="D76" s="7"/>
      <c r="E76" s="7"/>
      <c r="F76" s="11"/>
      <c r="G76" s="11"/>
      <c r="H76" s="12"/>
      <c r="I76" s="12"/>
    </row>
    <row r="77" ht="15.75" customHeight="1">
      <c r="A77" s="7"/>
      <c r="B77" s="7"/>
      <c r="C77" s="7"/>
      <c r="D77" s="7"/>
      <c r="E77" s="7"/>
      <c r="F77" s="11"/>
      <c r="G77" s="11"/>
      <c r="H77" s="12"/>
      <c r="I77" s="12"/>
    </row>
    <row r="78" ht="15.75" customHeight="1">
      <c r="A78" s="7"/>
      <c r="B78" s="7"/>
      <c r="C78" s="7"/>
      <c r="D78" s="7"/>
      <c r="E78" s="7"/>
      <c r="F78" s="11"/>
      <c r="G78" s="11"/>
      <c r="H78" s="12"/>
      <c r="I78" s="12"/>
    </row>
    <row r="79" ht="15.75" customHeight="1">
      <c r="A79" s="7"/>
      <c r="B79" s="7"/>
      <c r="C79" s="7"/>
      <c r="D79" s="7"/>
      <c r="E79" s="7"/>
      <c r="F79" s="11"/>
      <c r="G79" s="11"/>
      <c r="H79" s="12"/>
      <c r="I79" s="12"/>
    </row>
    <row r="80" ht="15.75" customHeight="1">
      <c r="A80" s="7"/>
      <c r="B80" s="7"/>
      <c r="C80" s="7"/>
      <c r="D80" s="7"/>
      <c r="E80" s="7"/>
      <c r="F80" s="11"/>
      <c r="G80" s="11"/>
      <c r="H80" s="12"/>
      <c r="I80" s="12"/>
    </row>
    <row r="81" ht="15.75" customHeight="1">
      <c r="A81" s="7"/>
      <c r="B81" s="7"/>
      <c r="C81" s="7"/>
      <c r="D81" s="7"/>
      <c r="E81" s="7"/>
      <c r="F81" s="11"/>
      <c r="G81" s="11"/>
      <c r="H81" s="12"/>
      <c r="I81" s="12"/>
    </row>
    <row r="82" ht="15.75" customHeight="1">
      <c r="A82" s="7"/>
      <c r="B82" s="7"/>
      <c r="C82" s="7"/>
      <c r="D82" s="7"/>
      <c r="E82" s="7"/>
      <c r="F82" s="11"/>
      <c r="G82" s="11"/>
      <c r="H82" s="12"/>
      <c r="I82" s="12"/>
    </row>
    <row r="83" ht="15.75" customHeight="1">
      <c r="A83" s="7"/>
      <c r="B83" s="7"/>
      <c r="C83" s="7"/>
      <c r="D83" s="7"/>
      <c r="E83" s="7"/>
      <c r="F83" s="11"/>
      <c r="G83" s="11"/>
      <c r="H83" s="12"/>
      <c r="I83" s="12"/>
    </row>
    <row r="84" ht="15.75" customHeight="1">
      <c r="A84" s="7"/>
      <c r="B84" s="7"/>
      <c r="C84" s="7"/>
      <c r="D84" s="7"/>
      <c r="E84" s="7"/>
      <c r="F84" s="11"/>
      <c r="G84" s="11"/>
      <c r="H84" s="12"/>
      <c r="I84" s="12"/>
    </row>
    <row r="85" ht="15.75" customHeight="1">
      <c r="A85" s="7"/>
      <c r="B85" s="7"/>
      <c r="C85" s="7"/>
      <c r="D85" s="7"/>
      <c r="E85" s="7"/>
      <c r="F85" s="11"/>
      <c r="G85" s="11"/>
      <c r="H85" s="12"/>
      <c r="I85" s="12"/>
    </row>
    <row r="86" ht="15.75" customHeight="1">
      <c r="A86" s="7"/>
      <c r="B86" s="7"/>
      <c r="C86" s="7"/>
      <c r="D86" s="7"/>
      <c r="E86" s="7"/>
      <c r="F86" s="11"/>
      <c r="G86" s="11"/>
      <c r="H86" s="12"/>
      <c r="I86" s="12"/>
    </row>
    <row r="87" ht="15.75" customHeight="1">
      <c r="A87" s="7"/>
      <c r="B87" s="7"/>
      <c r="C87" s="7"/>
      <c r="D87" s="7"/>
      <c r="E87" s="7"/>
      <c r="F87" s="11"/>
      <c r="G87" s="11"/>
      <c r="H87" s="12"/>
      <c r="I87" s="12"/>
    </row>
    <row r="88" ht="15.75" customHeight="1">
      <c r="A88" s="7"/>
      <c r="B88" s="7"/>
      <c r="C88" s="7"/>
      <c r="D88" s="7"/>
      <c r="E88" s="7"/>
      <c r="F88" s="11"/>
      <c r="G88" s="11"/>
      <c r="H88" s="12"/>
      <c r="I88" s="12"/>
    </row>
    <row r="89" ht="15.75" customHeight="1">
      <c r="A89" s="7"/>
      <c r="B89" s="7"/>
      <c r="C89" s="7"/>
      <c r="D89" s="7"/>
      <c r="E89" s="7"/>
      <c r="F89" s="11"/>
      <c r="G89" s="11"/>
      <c r="H89" s="12"/>
      <c r="I89" s="12"/>
    </row>
    <row r="90" ht="15.75" customHeight="1">
      <c r="A90" s="7"/>
      <c r="B90" s="7"/>
      <c r="C90" s="7"/>
      <c r="D90" s="7"/>
      <c r="E90" s="7"/>
      <c r="F90" s="11"/>
      <c r="G90" s="11"/>
      <c r="H90" s="12"/>
      <c r="I90" s="12"/>
    </row>
    <row r="91" ht="15.75" customHeight="1">
      <c r="A91" s="7"/>
      <c r="B91" s="7"/>
      <c r="C91" s="7"/>
      <c r="D91" s="7"/>
      <c r="E91" s="7"/>
      <c r="F91" s="11"/>
      <c r="G91" s="11"/>
      <c r="H91" s="12"/>
      <c r="I91" s="12"/>
    </row>
    <row r="92" ht="15.75" customHeight="1">
      <c r="A92" s="7"/>
      <c r="B92" s="7"/>
      <c r="C92" s="7"/>
      <c r="D92" s="7"/>
      <c r="E92" s="7"/>
      <c r="F92" s="11"/>
      <c r="G92" s="11"/>
      <c r="H92" s="12"/>
      <c r="I92" s="12"/>
    </row>
    <row r="93" ht="15.75" customHeight="1">
      <c r="A93" s="7"/>
      <c r="B93" s="7"/>
      <c r="C93" s="7"/>
      <c r="D93" s="7"/>
      <c r="E93" s="7"/>
      <c r="F93" s="11"/>
      <c r="G93" s="11"/>
      <c r="H93" s="12"/>
      <c r="I93" s="12"/>
    </row>
    <row r="94" ht="15.75" customHeight="1">
      <c r="A94" s="7"/>
      <c r="B94" s="7"/>
      <c r="C94" s="7"/>
      <c r="D94" s="7"/>
      <c r="E94" s="7"/>
      <c r="F94" s="11"/>
      <c r="G94" s="11"/>
      <c r="H94" s="12"/>
      <c r="I94" s="12"/>
    </row>
    <row r="95" ht="15.75" customHeight="1">
      <c r="A95" s="7"/>
      <c r="B95" s="7"/>
      <c r="C95" s="7"/>
      <c r="D95" s="7"/>
      <c r="E95" s="7"/>
      <c r="F95" s="11"/>
      <c r="G95" s="11"/>
      <c r="H95" s="12"/>
      <c r="I95" s="12"/>
    </row>
    <row r="96" ht="15.75" customHeight="1">
      <c r="A96" s="7"/>
      <c r="B96" s="7"/>
      <c r="C96" s="7"/>
      <c r="D96" s="7"/>
      <c r="E96" s="7"/>
      <c r="F96" s="11"/>
      <c r="G96" s="11"/>
      <c r="H96" s="12"/>
      <c r="I96" s="12"/>
    </row>
    <row r="97" ht="15.75" customHeight="1">
      <c r="A97" s="7"/>
      <c r="B97" s="7"/>
      <c r="C97" s="7"/>
      <c r="D97" s="7"/>
      <c r="E97" s="7"/>
      <c r="F97" s="11"/>
      <c r="G97" s="11"/>
      <c r="H97" s="12"/>
      <c r="I97" s="12"/>
    </row>
    <row r="98" ht="15.75" customHeight="1">
      <c r="A98" s="7"/>
      <c r="B98" s="7"/>
      <c r="C98" s="7"/>
      <c r="D98" s="7"/>
      <c r="E98" s="7"/>
      <c r="F98" s="11"/>
      <c r="G98" s="11"/>
      <c r="H98" s="12"/>
      <c r="I98" s="12"/>
    </row>
    <row r="99" ht="15.75" customHeight="1">
      <c r="A99" s="7"/>
      <c r="B99" s="7"/>
      <c r="C99" s="7"/>
      <c r="D99" s="7"/>
      <c r="E99" s="7"/>
      <c r="F99" s="11"/>
      <c r="G99" s="11"/>
      <c r="H99" s="12"/>
      <c r="I99" s="12"/>
    </row>
    <row r="100" ht="15.75" customHeight="1">
      <c r="A100" s="7"/>
      <c r="B100" s="7"/>
      <c r="C100" s="7"/>
      <c r="D100" s="7"/>
      <c r="E100" s="7"/>
      <c r="F100" s="11"/>
      <c r="G100" s="11"/>
      <c r="H100" s="12"/>
      <c r="I100" s="12"/>
    </row>
    <row r="101" ht="15.75" customHeight="1">
      <c r="A101" s="7"/>
      <c r="B101" s="7"/>
      <c r="C101" s="7"/>
      <c r="D101" s="7"/>
      <c r="E101" s="7"/>
      <c r="F101" s="11"/>
      <c r="G101" s="11"/>
      <c r="H101" s="12"/>
      <c r="I101" s="12"/>
    </row>
    <row r="102" ht="15.75" customHeight="1">
      <c r="A102" s="7"/>
      <c r="B102" s="7"/>
      <c r="C102" s="7"/>
      <c r="D102" s="7"/>
      <c r="E102" s="7"/>
      <c r="F102" s="11"/>
      <c r="G102" s="11"/>
      <c r="H102" s="12"/>
      <c r="I102" s="12"/>
    </row>
    <row r="103" ht="15.75" customHeight="1">
      <c r="A103" s="7"/>
      <c r="B103" s="7"/>
      <c r="C103" s="7"/>
      <c r="D103" s="7"/>
      <c r="E103" s="7"/>
      <c r="F103" s="11"/>
      <c r="G103" s="11"/>
      <c r="H103" s="12"/>
      <c r="I103" s="12"/>
    </row>
    <row r="104" ht="15.75" customHeight="1">
      <c r="A104" s="7"/>
      <c r="B104" s="7"/>
      <c r="C104" s="7"/>
      <c r="D104" s="7"/>
      <c r="E104" s="7"/>
      <c r="F104" s="11"/>
      <c r="G104" s="11"/>
      <c r="H104" s="12"/>
      <c r="I104" s="12"/>
    </row>
    <row r="105" ht="15.75" customHeight="1">
      <c r="A105" s="7"/>
      <c r="B105" s="7"/>
      <c r="C105" s="7"/>
      <c r="D105" s="7"/>
      <c r="E105" s="7"/>
      <c r="F105" s="11"/>
      <c r="G105" s="11"/>
      <c r="H105" s="12"/>
      <c r="I105" s="12"/>
    </row>
    <row r="106" ht="15.75" customHeight="1">
      <c r="A106" s="7"/>
      <c r="B106" s="7"/>
      <c r="C106" s="7"/>
      <c r="D106" s="7"/>
      <c r="E106" s="7"/>
      <c r="F106" s="11"/>
      <c r="G106" s="11"/>
      <c r="H106" s="12"/>
      <c r="I106" s="12"/>
    </row>
    <row r="107" ht="15.75" customHeight="1">
      <c r="A107" s="7"/>
      <c r="B107" s="7"/>
      <c r="C107" s="7"/>
      <c r="D107" s="7"/>
      <c r="E107" s="7"/>
      <c r="F107" s="11"/>
      <c r="G107" s="11"/>
      <c r="H107" s="12"/>
      <c r="I107" s="12"/>
    </row>
    <row r="108" ht="15.75" customHeight="1">
      <c r="A108" s="7"/>
      <c r="B108" s="7"/>
      <c r="C108" s="7"/>
      <c r="D108" s="7"/>
      <c r="E108" s="7"/>
      <c r="F108" s="11"/>
      <c r="G108" s="11"/>
      <c r="H108" s="12"/>
      <c r="I108" s="12"/>
    </row>
    <row r="109" ht="15.75" customHeight="1">
      <c r="A109" s="7"/>
      <c r="B109" s="7"/>
      <c r="C109" s="7"/>
      <c r="D109" s="7"/>
      <c r="E109" s="7"/>
      <c r="F109" s="11"/>
      <c r="G109" s="11"/>
      <c r="H109" s="12"/>
      <c r="I109" s="12"/>
    </row>
    <row r="110" ht="15.75" customHeight="1">
      <c r="A110" s="7"/>
      <c r="B110" s="7"/>
      <c r="C110" s="7"/>
      <c r="D110" s="7"/>
      <c r="E110" s="7"/>
      <c r="F110" s="11"/>
      <c r="G110" s="11"/>
      <c r="H110" s="12"/>
      <c r="I110" s="12"/>
    </row>
    <row r="111" ht="15.75" customHeight="1">
      <c r="A111" s="7"/>
      <c r="B111" s="7"/>
      <c r="C111" s="7"/>
      <c r="D111" s="7"/>
      <c r="E111" s="7"/>
      <c r="F111" s="11"/>
      <c r="G111" s="11"/>
      <c r="H111" s="12"/>
      <c r="I111" s="12"/>
    </row>
    <row r="112" ht="15.75" customHeight="1">
      <c r="A112" s="7"/>
      <c r="B112" s="7"/>
      <c r="C112" s="7"/>
      <c r="D112" s="7"/>
      <c r="E112" s="7"/>
      <c r="F112" s="11"/>
      <c r="G112" s="11"/>
      <c r="H112" s="12"/>
      <c r="I112" s="12"/>
    </row>
    <row r="113" ht="15.75" customHeight="1">
      <c r="A113" s="7"/>
      <c r="B113" s="7"/>
      <c r="C113" s="7"/>
      <c r="D113" s="7"/>
      <c r="E113" s="7"/>
      <c r="F113" s="11"/>
      <c r="G113" s="11"/>
      <c r="H113" s="12"/>
      <c r="I113" s="12"/>
    </row>
    <row r="114" ht="15.75" customHeight="1">
      <c r="A114" s="7"/>
      <c r="B114" s="7"/>
      <c r="C114" s="7"/>
      <c r="D114" s="7"/>
      <c r="E114" s="7"/>
      <c r="F114" s="11"/>
      <c r="G114" s="11"/>
      <c r="H114" s="12"/>
      <c r="I114" s="12"/>
    </row>
    <row r="115" ht="15.75" customHeight="1">
      <c r="A115" s="7"/>
      <c r="B115" s="7"/>
      <c r="C115" s="7"/>
      <c r="D115" s="7"/>
      <c r="E115" s="7"/>
      <c r="F115" s="11"/>
      <c r="G115" s="11"/>
      <c r="H115" s="12"/>
      <c r="I115" s="12"/>
    </row>
    <row r="116" ht="15.75" customHeight="1">
      <c r="A116" s="7"/>
      <c r="B116" s="7"/>
      <c r="C116" s="7"/>
      <c r="D116" s="7"/>
      <c r="E116" s="7"/>
      <c r="F116" s="11"/>
      <c r="G116" s="11"/>
      <c r="H116" s="12"/>
      <c r="I116" s="12"/>
    </row>
    <row r="117" ht="15.75" customHeight="1">
      <c r="A117" s="7"/>
      <c r="B117" s="7"/>
      <c r="C117" s="7"/>
      <c r="D117" s="7"/>
      <c r="E117" s="7"/>
      <c r="F117" s="11"/>
      <c r="G117" s="11"/>
      <c r="H117" s="12"/>
      <c r="I117" s="12"/>
    </row>
    <row r="118" ht="15.75" customHeight="1">
      <c r="A118" s="7"/>
      <c r="B118" s="7"/>
      <c r="C118" s="7"/>
      <c r="D118" s="7"/>
      <c r="E118" s="7"/>
      <c r="F118" s="11"/>
      <c r="G118" s="11"/>
      <c r="H118" s="12"/>
      <c r="I118" s="12"/>
    </row>
    <row r="119" ht="15.75" customHeight="1">
      <c r="A119" s="7"/>
      <c r="B119" s="7"/>
      <c r="C119" s="7"/>
      <c r="D119" s="7"/>
      <c r="E119" s="7"/>
      <c r="F119" s="11"/>
      <c r="G119" s="11"/>
      <c r="H119" s="12"/>
      <c r="I119" s="12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1">
    <mergeCell ref="A1:I1"/>
  </mergeCells>
  <printOptions/>
  <pageMargins bottom="0.511805555555556" footer="0.0" header="0.0" left="0.0" right="0.0" top="0.511805555555556"/>
  <pageSetup orientation="landscape" paperHeight="8.26771653543307in" paperWidth="12.086614173228345in"/>
  <colBreaks count="1" manualBreakCount="1">
    <brk id="9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51.71"/>
    <col customWidth="1" min="3" max="3" width="17.71"/>
    <col customWidth="1" min="4" max="4" width="20.71"/>
    <col customWidth="1" min="5" max="5" width="12.43"/>
    <col customWidth="1" min="6" max="6" width="16.57"/>
    <col customWidth="1" min="7" max="7" width="18.14"/>
    <col customWidth="1" min="8" max="26" width="8.71"/>
  </cols>
  <sheetData>
    <row r="1">
      <c r="A1" s="1" t="s">
        <v>53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6" t="s">
        <v>8</v>
      </c>
      <c r="I2" s="6"/>
    </row>
    <row r="3">
      <c r="A3" s="7" t="s">
        <v>9</v>
      </c>
      <c r="B3" s="13" t="s">
        <v>13</v>
      </c>
      <c r="C3" s="9" t="s">
        <v>14</v>
      </c>
      <c r="D3" s="9" t="s">
        <v>54</v>
      </c>
      <c r="E3" s="9">
        <v>5.0</v>
      </c>
      <c r="F3" s="10">
        <v>4500.0</v>
      </c>
      <c r="G3" s="11">
        <f t="shared" ref="G3:G7" si="1">E3*F3</f>
        <v>22500</v>
      </c>
      <c r="H3" s="12"/>
      <c r="I3" s="12"/>
    </row>
    <row r="4">
      <c r="A4" s="7" t="s">
        <v>9</v>
      </c>
      <c r="B4" s="13" t="s">
        <v>13</v>
      </c>
      <c r="C4" s="9" t="s">
        <v>14</v>
      </c>
      <c r="D4" s="9" t="s">
        <v>55</v>
      </c>
      <c r="E4" s="9">
        <v>4.0</v>
      </c>
      <c r="F4" s="10">
        <v>4500.0</v>
      </c>
      <c r="G4" s="11">
        <f t="shared" si="1"/>
        <v>18000</v>
      </c>
      <c r="H4" s="12"/>
      <c r="I4" s="12"/>
    </row>
    <row r="5">
      <c r="A5" s="7" t="s">
        <v>9</v>
      </c>
      <c r="B5" s="13" t="s">
        <v>13</v>
      </c>
      <c r="C5" s="9" t="s">
        <v>14</v>
      </c>
      <c r="D5" s="9" t="s">
        <v>56</v>
      </c>
      <c r="E5" s="9">
        <v>2.0</v>
      </c>
      <c r="F5" s="10">
        <v>4500.0</v>
      </c>
      <c r="G5" s="11">
        <f t="shared" si="1"/>
        <v>9000</v>
      </c>
      <c r="H5" s="12"/>
      <c r="I5" s="12"/>
    </row>
    <row r="6">
      <c r="A6" s="7" t="s">
        <v>9</v>
      </c>
      <c r="B6" s="13" t="s">
        <v>13</v>
      </c>
      <c r="C6" s="9" t="s">
        <v>14</v>
      </c>
      <c r="D6" s="9" t="s">
        <v>57</v>
      </c>
      <c r="E6" s="9">
        <v>2.0</v>
      </c>
      <c r="F6" s="10">
        <v>4500.0</v>
      </c>
      <c r="G6" s="11">
        <f t="shared" si="1"/>
        <v>9000</v>
      </c>
      <c r="H6" s="12"/>
      <c r="I6" s="12"/>
    </row>
    <row r="7">
      <c r="A7" s="9" t="s">
        <v>9</v>
      </c>
      <c r="B7" s="14" t="s">
        <v>10</v>
      </c>
      <c r="C7" s="9" t="s">
        <v>11</v>
      </c>
      <c r="D7" s="9" t="s">
        <v>18</v>
      </c>
      <c r="E7" s="9">
        <v>1.0</v>
      </c>
      <c r="F7" s="10">
        <v>23009.0</v>
      </c>
      <c r="G7" s="11">
        <f t="shared" si="1"/>
        <v>23009</v>
      </c>
      <c r="H7" s="12"/>
      <c r="I7" s="12"/>
    </row>
    <row r="8">
      <c r="A8" s="7" t="s">
        <v>19</v>
      </c>
      <c r="B8" s="14" t="s">
        <v>20</v>
      </c>
      <c r="C8" s="9" t="s">
        <v>14</v>
      </c>
      <c r="D8" s="9" t="s">
        <v>18</v>
      </c>
      <c r="E8" s="9">
        <v>1.0</v>
      </c>
      <c r="F8" s="10">
        <v>23009.0</v>
      </c>
      <c r="G8" s="10">
        <v>23009.0</v>
      </c>
      <c r="H8" s="12"/>
      <c r="I8" s="12"/>
    </row>
    <row r="9">
      <c r="A9" s="7" t="s">
        <v>21</v>
      </c>
      <c r="B9" s="9" t="s">
        <v>22</v>
      </c>
      <c r="C9" s="9" t="s">
        <v>23</v>
      </c>
      <c r="D9" s="9" t="s">
        <v>24</v>
      </c>
      <c r="E9" s="9">
        <v>1.0</v>
      </c>
      <c r="F9" s="10">
        <v>548.56</v>
      </c>
      <c r="G9" s="11">
        <f>F9</f>
        <v>548.56</v>
      </c>
      <c r="H9" s="12"/>
      <c r="I9" s="12"/>
    </row>
    <row r="10">
      <c r="A10" s="7" t="s">
        <v>25</v>
      </c>
      <c r="B10" s="16" t="s">
        <v>28</v>
      </c>
      <c r="C10" s="9" t="s">
        <v>29</v>
      </c>
      <c r="D10" s="9" t="s">
        <v>54</v>
      </c>
      <c r="E10" s="9">
        <v>5.0</v>
      </c>
      <c r="F10" s="10">
        <v>990.0</v>
      </c>
      <c r="G10" s="11">
        <f t="shared" ref="G10:G29" si="2">E10*F10</f>
        <v>4950</v>
      </c>
      <c r="H10" s="12"/>
      <c r="I10" s="12"/>
    </row>
    <row r="11">
      <c r="A11" s="7" t="s">
        <v>25</v>
      </c>
      <c r="B11" s="16" t="s">
        <v>28</v>
      </c>
      <c r="C11" s="9" t="s">
        <v>29</v>
      </c>
      <c r="D11" s="9" t="s">
        <v>55</v>
      </c>
      <c r="E11" s="9">
        <v>4.0</v>
      </c>
      <c r="F11" s="10">
        <v>450.0</v>
      </c>
      <c r="G11" s="11">
        <f t="shared" si="2"/>
        <v>1800</v>
      </c>
      <c r="H11" s="12"/>
      <c r="I11" s="12"/>
    </row>
    <row r="12">
      <c r="A12" s="7" t="s">
        <v>25</v>
      </c>
      <c r="B12" s="16" t="s">
        <v>28</v>
      </c>
      <c r="C12" s="9" t="s">
        <v>29</v>
      </c>
      <c r="D12" s="9" t="s">
        <v>56</v>
      </c>
      <c r="E12" s="9">
        <v>2.0</v>
      </c>
      <c r="F12" s="10">
        <v>450.0</v>
      </c>
      <c r="G12" s="11">
        <f t="shared" si="2"/>
        <v>900</v>
      </c>
      <c r="H12" s="12"/>
      <c r="I12" s="12"/>
    </row>
    <row r="13">
      <c r="A13" s="7" t="s">
        <v>25</v>
      </c>
      <c r="B13" s="16" t="s">
        <v>28</v>
      </c>
      <c r="C13" s="9" t="s">
        <v>29</v>
      </c>
      <c r="D13" s="9" t="s">
        <v>57</v>
      </c>
      <c r="E13" s="9">
        <v>2.0</v>
      </c>
      <c r="F13" s="10">
        <v>450.0</v>
      </c>
      <c r="G13" s="11">
        <f t="shared" si="2"/>
        <v>900</v>
      </c>
      <c r="H13" s="12"/>
      <c r="I13" s="12"/>
    </row>
    <row r="14">
      <c r="A14" s="7" t="s">
        <v>25</v>
      </c>
      <c r="B14" s="16" t="s">
        <v>28</v>
      </c>
      <c r="C14" s="9" t="s">
        <v>29</v>
      </c>
      <c r="D14" s="9" t="s">
        <v>58</v>
      </c>
      <c r="E14" s="9">
        <v>2.0</v>
      </c>
      <c r="F14" s="10">
        <v>450.0</v>
      </c>
      <c r="G14" s="11">
        <f t="shared" si="2"/>
        <v>900</v>
      </c>
      <c r="H14" s="12"/>
      <c r="I14" s="12"/>
    </row>
    <row r="15">
      <c r="A15" s="7" t="s">
        <v>30</v>
      </c>
      <c r="B15" s="15" t="s">
        <v>33</v>
      </c>
      <c r="C15" s="9" t="s">
        <v>32</v>
      </c>
      <c r="D15" s="9" t="s">
        <v>54</v>
      </c>
      <c r="E15" s="9">
        <v>5.0</v>
      </c>
      <c r="F15" s="10">
        <v>2050.0</v>
      </c>
      <c r="G15" s="11">
        <f t="shared" si="2"/>
        <v>10250</v>
      </c>
      <c r="H15" s="12"/>
      <c r="I15" s="12"/>
    </row>
    <row r="16">
      <c r="A16" s="7" t="s">
        <v>30</v>
      </c>
      <c r="B16" s="15" t="s">
        <v>33</v>
      </c>
      <c r="C16" s="9" t="s">
        <v>32</v>
      </c>
      <c r="D16" s="9" t="s">
        <v>55</v>
      </c>
      <c r="E16" s="9">
        <v>4.0</v>
      </c>
      <c r="F16" s="10">
        <v>665.0</v>
      </c>
      <c r="G16" s="11">
        <f t="shared" si="2"/>
        <v>2660</v>
      </c>
      <c r="H16" s="12"/>
      <c r="I16" s="12"/>
    </row>
    <row r="17">
      <c r="A17" s="7" t="s">
        <v>30</v>
      </c>
      <c r="B17" s="15" t="s">
        <v>33</v>
      </c>
      <c r="C17" s="9" t="s">
        <v>32</v>
      </c>
      <c r="D17" s="9" t="s">
        <v>56</v>
      </c>
      <c r="E17" s="9">
        <v>2.0</v>
      </c>
      <c r="F17" s="10">
        <v>665.0</v>
      </c>
      <c r="G17" s="11">
        <f t="shared" si="2"/>
        <v>1330</v>
      </c>
      <c r="H17" s="12"/>
      <c r="I17" s="12"/>
    </row>
    <row r="18">
      <c r="A18" s="7" t="s">
        <v>30</v>
      </c>
      <c r="B18" s="15" t="s">
        <v>33</v>
      </c>
      <c r="C18" s="9" t="s">
        <v>32</v>
      </c>
      <c r="D18" s="9" t="s">
        <v>57</v>
      </c>
      <c r="E18" s="9">
        <v>2.0</v>
      </c>
      <c r="F18" s="10">
        <v>665.0</v>
      </c>
      <c r="G18" s="11">
        <f t="shared" si="2"/>
        <v>1330</v>
      </c>
      <c r="H18" s="12"/>
      <c r="I18" s="12"/>
    </row>
    <row r="19">
      <c r="A19" s="7" t="s">
        <v>30</v>
      </c>
      <c r="B19" s="15" t="s">
        <v>33</v>
      </c>
      <c r="C19" s="9" t="s">
        <v>32</v>
      </c>
      <c r="D19" s="9" t="s">
        <v>58</v>
      </c>
      <c r="E19" s="9">
        <v>2.0</v>
      </c>
      <c r="F19" s="10">
        <v>665.0</v>
      </c>
      <c r="G19" s="11">
        <f t="shared" si="2"/>
        <v>1330</v>
      </c>
      <c r="H19" s="12"/>
      <c r="I19" s="12"/>
    </row>
    <row r="20" ht="14.25" customHeight="1">
      <c r="A20" s="7" t="s">
        <v>34</v>
      </c>
      <c r="B20" s="16" t="s">
        <v>35</v>
      </c>
      <c r="C20" s="9" t="s">
        <v>36</v>
      </c>
      <c r="D20" s="9" t="s">
        <v>55</v>
      </c>
      <c r="E20" s="9">
        <v>4.0</v>
      </c>
      <c r="F20" s="10">
        <v>99.0</v>
      </c>
      <c r="G20" s="11">
        <f t="shared" si="2"/>
        <v>396</v>
      </c>
      <c r="H20" s="12"/>
      <c r="I20" s="12"/>
    </row>
    <row r="21" ht="14.25" customHeight="1">
      <c r="A21" s="7" t="s">
        <v>34</v>
      </c>
      <c r="B21" s="16" t="s">
        <v>35</v>
      </c>
      <c r="C21" s="9" t="s">
        <v>36</v>
      </c>
      <c r="D21" s="9" t="s">
        <v>56</v>
      </c>
      <c r="E21" s="9">
        <v>2.0</v>
      </c>
      <c r="F21" s="10">
        <v>99.0</v>
      </c>
      <c r="G21" s="11">
        <f t="shared" si="2"/>
        <v>198</v>
      </c>
      <c r="H21" s="12"/>
      <c r="I21" s="12"/>
    </row>
    <row r="22" ht="14.25" customHeight="1">
      <c r="A22" s="7" t="s">
        <v>34</v>
      </c>
      <c r="B22" s="16" t="s">
        <v>35</v>
      </c>
      <c r="C22" s="9" t="s">
        <v>36</v>
      </c>
      <c r="D22" s="9" t="s">
        <v>57</v>
      </c>
      <c r="E22" s="9">
        <v>2.0</v>
      </c>
      <c r="F22" s="10">
        <v>99.0</v>
      </c>
      <c r="G22" s="11">
        <f t="shared" si="2"/>
        <v>198</v>
      </c>
      <c r="H22" s="12"/>
      <c r="I22" s="12"/>
    </row>
    <row r="23">
      <c r="A23" s="7" t="s">
        <v>37</v>
      </c>
      <c r="B23" s="9" t="s">
        <v>38</v>
      </c>
      <c r="C23" s="9" t="s">
        <v>39</v>
      </c>
      <c r="D23" s="9" t="s">
        <v>18</v>
      </c>
      <c r="E23" s="9">
        <v>1.0</v>
      </c>
      <c r="F23" s="10">
        <v>4243.5</v>
      </c>
      <c r="G23" s="11">
        <f t="shared" si="2"/>
        <v>4243.5</v>
      </c>
      <c r="H23" s="12"/>
      <c r="I23" s="12"/>
    </row>
    <row r="24">
      <c r="A24" s="7" t="s">
        <v>40</v>
      </c>
      <c r="B24" s="9" t="s">
        <v>59</v>
      </c>
      <c r="C24" s="9" t="s">
        <v>42</v>
      </c>
      <c r="D24" s="9" t="s">
        <v>24</v>
      </c>
      <c r="E24" s="9">
        <v>1.0</v>
      </c>
      <c r="F24" s="10">
        <v>1500.0</v>
      </c>
      <c r="G24" s="11">
        <f t="shared" si="2"/>
        <v>1500</v>
      </c>
      <c r="H24" s="12"/>
      <c r="I24" s="12"/>
    </row>
    <row r="25">
      <c r="A25" s="7" t="s">
        <v>43</v>
      </c>
      <c r="B25" s="9" t="s">
        <v>44</v>
      </c>
      <c r="C25" s="9" t="s">
        <v>42</v>
      </c>
      <c r="D25" s="9" t="s">
        <v>24</v>
      </c>
      <c r="E25" s="8">
        <v>30.0</v>
      </c>
      <c r="F25" s="10">
        <v>70.0</v>
      </c>
      <c r="G25" s="11">
        <f t="shared" si="2"/>
        <v>2100</v>
      </c>
      <c r="H25" s="12"/>
      <c r="I25" s="12"/>
    </row>
    <row r="26">
      <c r="A26" s="7" t="s">
        <v>45</v>
      </c>
      <c r="B26" s="9" t="s">
        <v>60</v>
      </c>
      <c r="C26" s="9" t="s">
        <v>42</v>
      </c>
      <c r="D26" s="9" t="s">
        <v>24</v>
      </c>
      <c r="E26" s="8">
        <v>100.0</v>
      </c>
      <c r="F26" s="10">
        <v>70.0</v>
      </c>
      <c r="G26" s="11">
        <f t="shared" si="2"/>
        <v>7000</v>
      </c>
      <c r="H26" s="12"/>
      <c r="I26" s="12"/>
    </row>
    <row r="27">
      <c r="A27" s="7" t="s">
        <v>47</v>
      </c>
      <c r="B27" s="9" t="s">
        <v>48</v>
      </c>
      <c r="C27" s="9" t="s">
        <v>42</v>
      </c>
      <c r="D27" s="9" t="s">
        <v>24</v>
      </c>
      <c r="E27" s="9">
        <v>60.0</v>
      </c>
      <c r="F27" s="10">
        <v>100.0</v>
      </c>
      <c r="G27" s="11">
        <f t="shared" si="2"/>
        <v>6000</v>
      </c>
      <c r="H27" s="12"/>
      <c r="I27" s="12"/>
    </row>
    <row r="28">
      <c r="A28" s="7" t="s">
        <v>49</v>
      </c>
      <c r="B28" s="9" t="s">
        <v>61</v>
      </c>
      <c r="C28" s="9" t="s">
        <v>42</v>
      </c>
      <c r="D28" s="9" t="s">
        <v>24</v>
      </c>
      <c r="E28" s="18">
        <v>5.0</v>
      </c>
      <c r="F28" s="10">
        <v>3000.0</v>
      </c>
      <c r="G28" s="11">
        <f t="shared" si="2"/>
        <v>15000</v>
      </c>
      <c r="H28" s="12"/>
      <c r="I28" s="12"/>
    </row>
    <row r="29">
      <c r="A29" s="7" t="s">
        <v>51</v>
      </c>
      <c r="B29" s="9" t="s">
        <v>52</v>
      </c>
      <c r="C29" s="9" t="s">
        <v>23</v>
      </c>
      <c r="D29" s="9" t="s">
        <v>24</v>
      </c>
      <c r="E29" s="9">
        <v>4.0</v>
      </c>
      <c r="F29" s="10">
        <v>7352.09</v>
      </c>
      <c r="G29" s="11">
        <f t="shared" si="2"/>
        <v>29408.36</v>
      </c>
      <c r="H29" s="12"/>
      <c r="I29" s="12"/>
    </row>
    <row r="30">
      <c r="A30" s="7"/>
      <c r="B30" s="7"/>
      <c r="C30" s="7"/>
      <c r="D30" s="7"/>
      <c r="E30" s="7"/>
      <c r="F30" s="11"/>
      <c r="G30" s="11"/>
      <c r="H30" s="12"/>
      <c r="I30" s="12"/>
    </row>
    <row r="31">
      <c r="A31" s="7"/>
      <c r="B31" s="7"/>
      <c r="C31" s="7"/>
      <c r="D31" s="7"/>
      <c r="E31" s="7"/>
      <c r="F31" s="11"/>
      <c r="G31" s="11"/>
      <c r="H31" s="12"/>
      <c r="I31" s="12"/>
    </row>
    <row r="32">
      <c r="A32" s="7"/>
      <c r="B32" s="7"/>
      <c r="C32" s="7"/>
      <c r="D32" s="7"/>
      <c r="E32" s="7"/>
      <c r="F32" s="11"/>
      <c r="G32" s="11"/>
      <c r="H32" s="12"/>
      <c r="I32" s="12"/>
    </row>
    <row r="33">
      <c r="A33" s="7"/>
      <c r="B33" s="7"/>
      <c r="C33" s="7"/>
      <c r="D33" s="7"/>
      <c r="E33" s="7"/>
      <c r="F33" s="11"/>
      <c r="G33" s="11"/>
      <c r="H33" s="12"/>
      <c r="I33" s="12"/>
    </row>
    <row r="34">
      <c r="A34" s="7"/>
      <c r="B34" s="7"/>
      <c r="C34" s="7"/>
      <c r="D34" s="7"/>
      <c r="E34" s="7"/>
      <c r="F34" s="11"/>
      <c r="G34" s="11"/>
      <c r="H34" s="12"/>
      <c r="I34" s="12"/>
    </row>
    <row r="35" ht="15.75" customHeight="1">
      <c r="A35" s="7"/>
      <c r="B35" s="7"/>
      <c r="C35" s="7"/>
      <c r="D35" s="7"/>
      <c r="E35" s="7"/>
      <c r="F35" s="11"/>
      <c r="G35" s="11"/>
      <c r="H35" s="12"/>
      <c r="I35" s="12"/>
    </row>
    <row r="36" ht="15.75" customHeight="1">
      <c r="A36" s="7"/>
      <c r="B36" s="7"/>
      <c r="C36" s="7"/>
      <c r="D36" s="7"/>
      <c r="E36" s="7"/>
      <c r="F36" s="11"/>
      <c r="G36" s="11"/>
      <c r="H36" s="12"/>
      <c r="I36" s="12"/>
    </row>
    <row r="37" ht="15.75" customHeight="1">
      <c r="A37" s="7"/>
      <c r="B37" s="7"/>
      <c r="C37" s="7"/>
      <c r="D37" s="7"/>
      <c r="E37" s="7"/>
      <c r="F37" s="11"/>
      <c r="G37" s="11"/>
      <c r="H37" s="12"/>
      <c r="I37" s="12"/>
    </row>
    <row r="38" ht="15.75" customHeight="1">
      <c r="A38" s="7"/>
      <c r="B38" s="7"/>
      <c r="C38" s="7"/>
      <c r="D38" s="7"/>
      <c r="E38" s="7"/>
      <c r="F38" s="11"/>
      <c r="G38" s="11"/>
      <c r="H38" s="12"/>
      <c r="I38" s="12"/>
    </row>
    <row r="39" ht="15.75" customHeight="1">
      <c r="A39" s="7"/>
      <c r="B39" s="7"/>
      <c r="C39" s="7"/>
      <c r="D39" s="7"/>
      <c r="E39" s="7"/>
      <c r="F39" s="11"/>
      <c r="G39" s="11"/>
      <c r="H39" s="12"/>
      <c r="I39" s="12"/>
    </row>
    <row r="40" ht="15.75" customHeight="1">
      <c r="A40" s="7"/>
      <c r="B40" s="7"/>
      <c r="C40" s="7"/>
      <c r="D40" s="7"/>
      <c r="E40" s="7"/>
      <c r="F40" s="11"/>
      <c r="G40" s="11"/>
      <c r="H40" s="12"/>
      <c r="I40" s="12"/>
    </row>
    <row r="41" ht="15.75" customHeight="1">
      <c r="A41" s="7"/>
      <c r="B41" s="7"/>
      <c r="C41" s="7"/>
      <c r="D41" s="7"/>
      <c r="E41" s="7"/>
      <c r="F41" s="11"/>
      <c r="G41" s="11"/>
      <c r="H41" s="12"/>
      <c r="I41" s="12"/>
    </row>
    <row r="42" ht="15.75" customHeight="1">
      <c r="A42" s="7"/>
      <c r="B42" s="7"/>
      <c r="C42" s="7"/>
      <c r="D42" s="7"/>
      <c r="E42" s="7"/>
      <c r="F42" s="11"/>
      <c r="G42" s="11"/>
      <c r="H42" s="12"/>
      <c r="I42" s="12"/>
    </row>
    <row r="43" ht="15.75" customHeight="1">
      <c r="A43" s="7"/>
      <c r="B43" s="7"/>
      <c r="C43" s="7"/>
      <c r="D43" s="7"/>
      <c r="E43" s="7"/>
      <c r="F43" s="11"/>
      <c r="G43" s="11"/>
      <c r="H43" s="12"/>
      <c r="I43" s="12"/>
    </row>
    <row r="44" ht="15.75" customHeight="1">
      <c r="A44" s="7"/>
      <c r="B44" s="7"/>
      <c r="C44" s="7"/>
      <c r="D44" s="7"/>
      <c r="E44" s="7"/>
      <c r="F44" s="11"/>
      <c r="G44" s="11"/>
      <c r="H44" s="12"/>
      <c r="I44" s="12"/>
    </row>
    <row r="45" ht="15.75" customHeight="1">
      <c r="A45" s="7"/>
      <c r="B45" s="7"/>
      <c r="C45" s="7"/>
      <c r="D45" s="7"/>
      <c r="E45" s="7"/>
      <c r="F45" s="11"/>
      <c r="G45" s="11"/>
      <c r="H45" s="12"/>
      <c r="I45" s="12"/>
    </row>
    <row r="46" ht="15.75" customHeight="1">
      <c r="A46" s="7"/>
      <c r="B46" s="7"/>
      <c r="C46" s="7"/>
      <c r="D46" s="7"/>
      <c r="E46" s="7"/>
      <c r="F46" s="11"/>
      <c r="G46" s="11"/>
      <c r="H46" s="12"/>
      <c r="I46" s="12"/>
    </row>
    <row r="47" ht="15.75" customHeight="1">
      <c r="A47" s="7"/>
      <c r="B47" s="7"/>
      <c r="C47" s="7"/>
      <c r="D47" s="7"/>
      <c r="E47" s="7"/>
      <c r="F47" s="11"/>
      <c r="G47" s="11"/>
      <c r="H47" s="12"/>
      <c r="I47" s="12"/>
    </row>
    <row r="48" ht="15.75" customHeight="1">
      <c r="A48" s="7"/>
      <c r="B48" s="7"/>
      <c r="C48" s="7"/>
      <c r="D48" s="7"/>
      <c r="E48" s="7"/>
      <c r="F48" s="11"/>
      <c r="G48" s="11"/>
      <c r="H48" s="12"/>
      <c r="I48" s="12"/>
    </row>
    <row r="49" ht="15.75" customHeight="1">
      <c r="A49" s="7"/>
      <c r="B49" s="7"/>
      <c r="C49" s="7"/>
      <c r="D49" s="7"/>
      <c r="E49" s="7"/>
      <c r="F49" s="11"/>
      <c r="G49" s="11"/>
      <c r="H49" s="12"/>
      <c r="I49" s="12"/>
    </row>
    <row r="50" ht="15.75" customHeight="1">
      <c r="A50" s="7"/>
      <c r="B50" s="7"/>
      <c r="C50" s="7"/>
      <c r="D50" s="7"/>
      <c r="E50" s="7"/>
      <c r="F50" s="11"/>
      <c r="G50" s="11"/>
      <c r="H50" s="12"/>
      <c r="I50" s="12"/>
    </row>
    <row r="51" ht="15.75" customHeight="1">
      <c r="A51" s="7"/>
      <c r="B51" s="7"/>
      <c r="C51" s="7"/>
      <c r="D51" s="7"/>
      <c r="E51" s="7"/>
      <c r="F51" s="11"/>
      <c r="G51" s="11"/>
      <c r="H51" s="12"/>
      <c r="I51" s="12"/>
    </row>
    <row r="52" ht="15.75" customHeight="1">
      <c r="A52" s="7"/>
      <c r="B52" s="7"/>
      <c r="C52" s="7"/>
      <c r="D52" s="7"/>
      <c r="E52" s="7"/>
      <c r="F52" s="11"/>
      <c r="G52" s="11"/>
      <c r="H52" s="12"/>
      <c r="I52" s="12"/>
    </row>
    <row r="53" ht="15.75" customHeight="1">
      <c r="A53" s="7"/>
      <c r="B53" s="7"/>
      <c r="C53" s="7"/>
      <c r="D53" s="7"/>
      <c r="E53" s="7"/>
      <c r="F53" s="11"/>
      <c r="G53" s="11"/>
      <c r="H53" s="12"/>
      <c r="I53" s="12"/>
    </row>
    <row r="54" ht="15.75" customHeight="1">
      <c r="A54" s="7"/>
      <c r="B54" s="7"/>
      <c r="C54" s="7"/>
      <c r="D54" s="7"/>
      <c r="E54" s="7"/>
      <c r="F54" s="11"/>
      <c r="G54" s="11"/>
      <c r="H54" s="12"/>
      <c r="I54" s="12"/>
    </row>
    <row r="55" ht="15.75" customHeight="1">
      <c r="A55" s="7"/>
      <c r="B55" s="7"/>
      <c r="C55" s="7"/>
      <c r="D55" s="7"/>
      <c r="E55" s="7"/>
      <c r="F55" s="11"/>
      <c r="G55" s="11"/>
      <c r="H55" s="12"/>
      <c r="I55" s="12"/>
    </row>
    <row r="56" ht="15.75" customHeight="1">
      <c r="A56" s="7"/>
      <c r="B56" s="7"/>
      <c r="C56" s="7"/>
      <c r="D56" s="7"/>
      <c r="E56" s="7"/>
      <c r="F56" s="11"/>
      <c r="G56" s="11"/>
      <c r="H56" s="12"/>
      <c r="I56" s="12"/>
    </row>
    <row r="57" ht="15.75" customHeight="1">
      <c r="A57" s="7"/>
      <c r="B57" s="7"/>
      <c r="C57" s="7"/>
      <c r="D57" s="7"/>
      <c r="E57" s="7"/>
      <c r="F57" s="11"/>
      <c r="G57" s="11"/>
      <c r="H57" s="12"/>
      <c r="I57" s="12"/>
    </row>
    <row r="58" ht="15.75" customHeight="1">
      <c r="A58" s="7"/>
      <c r="B58" s="7"/>
      <c r="C58" s="7"/>
      <c r="D58" s="7"/>
      <c r="E58" s="7"/>
      <c r="F58" s="11"/>
      <c r="G58" s="11"/>
      <c r="H58" s="12"/>
      <c r="I58" s="12"/>
    </row>
    <row r="59" ht="15.75" customHeight="1">
      <c r="A59" s="7"/>
      <c r="B59" s="7"/>
      <c r="C59" s="7"/>
      <c r="D59" s="7"/>
      <c r="E59" s="7"/>
      <c r="F59" s="11"/>
      <c r="G59" s="11"/>
      <c r="H59" s="12"/>
      <c r="I59" s="12"/>
    </row>
    <row r="60" ht="15.75" customHeight="1">
      <c r="A60" s="7"/>
      <c r="B60" s="7"/>
      <c r="C60" s="7"/>
      <c r="D60" s="7"/>
      <c r="E60" s="7"/>
      <c r="F60" s="11"/>
      <c r="G60" s="11"/>
      <c r="H60" s="12"/>
      <c r="I60" s="12"/>
    </row>
    <row r="61" ht="15.75" customHeight="1">
      <c r="A61" s="7"/>
      <c r="B61" s="7"/>
      <c r="C61" s="7"/>
      <c r="D61" s="7"/>
      <c r="E61" s="7"/>
      <c r="F61" s="11"/>
      <c r="G61" s="11"/>
      <c r="H61" s="12"/>
      <c r="I61" s="12"/>
    </row>
    <row r="62" ht="15.75" customHeight="1">
      <c r="A62" s="7"/>
      <c r="B62" s="7"/>
      <c r="C62" s="7"/>
      <c r="D62" s="7"/>
      <c r="E62" s="7"/>
      <c r="F62" s="11"/>
      <c r="G62" s="11"/>
      <c r="H62" s="12"/>
      <c r="I62" s="12"/>
    </row>
    <row r="63" ht="15.75" customHeight="1">
      <c r="A63" s="7"/>
      <c r="B63" s="7"/>
      <c r="C63" s="7"/>
      <c r="D63" s="7"/>
      <c r="E63" s="7"/>
      <c r="F63" s="11"/>
      <c r="G63" s="11"/>
      <c r="H63" s="12"/>
      <c r="I63" s="12"/>
    </row>
    <row r="64" ht="15.75" customHeight="1">
      <c r="A64" s="7"/>
      <c r="B64" s="7"/>
      <c r="C64" s="7"/>
      <c r="D64" s="7"/>
      <c r="E64" s="7"/>
      <c r="F64" s="11"/>
      <c r="G64" s="11"/>
      <c r="H64" s="12"/>
      <c r="I64" s="12"/>
    </row>
    <row r="65" ht="15.75" customHeight="1">
      <c r="A65" s="7"/>
      <c r="B65" s="7"/>
      <c r="C65" s="7"/>
      <c r="D65" s="7"/>
      <c r="E65" s="7"/>
      <c r="F65" s="11"/>
      <c r="G65" s="11"/>
      <c r="H65" s="12"/>
      <c r="I65" s="12"/>
    </row>
    <row r="66" ht="15.75" customHeight="1">
      <c r="A66" s="7"/>
      <c r="B66" s="7"/>
      <c r="C66" s="7"/>
      <c r="D66" s="7"/>
      <c r="E66" s="7"/>
      <c r="F66" s="11"/>
      <c r="G66" s="11"/>
      <c r="H66" s="12"/>
      <c r="I66" s="12"/>
    </row>
    <row r="67" ht="15.75" customHeight="1">
      <c r="A67" s="7"/>
      <c r="B67" s="7"/>
      <c r="C67" s="7"/>
      <c r="D67" s="7"/>
      <c r="E67" s="7"/>
      <c r="F67" s="11"/>
      <c r="G67" s="11"/>
      <c r="H67" s="12"/>
      <c r="I67" s="12"/>
    </row>
    <row r="68" ht="15.75" customHeight="1">
      <c r="A68" s="7"/>
      <c r="B68" s="7"/>
      <c r="C68" s="7"/>
      <c r="D68" s="7"/>
      <c r="E68" s="7"/>
      <c r="F68" s="11"/>
      <c r="G68" s="11"/>
      <c r="H68" s="12"/>
      <c r="I68" s="12"/>
    </row>
    <row r="69" ht="15.75" customHeight="1">
      <c r="A69" s="7"/>
      <c r="B69" s="7"/>
      <c r="C69" s="7"/>
      <c r="D69" s="7"/>
      <c r="E69" s="7"/>
      <c r="F69" s="11"/>
      <c r="G69" s="11"/>
      <c r="H69" s="12"/>
      <c r="I69" s="12"/>
    </row>
    <row r="70" ht="15.75" customHeight="1">
      <c r="A70" s="7"/>
      <c r="B70" s="7"/>
      <c r="C70" s="7"/>
      <c r="D70" s="7"/>
      <c r="E70" s="7"/>
      <c r="F70" s="11"/>
      <c r="G70" s="11"/>
      <c r="H70" s="12"/>
      <c r="I70" s="12"/>
    </row>
    <row r="71" ht="15.75" customHeight="1">
      <c r="A71" s="7"/>
      <c r="B71" s="7"/>
      <c r="C71" s="7"/>
      <c r="D71" s="7"/>
      <c r="E71" s="7"/>
      <c r="F71" s="11"/>
      <c r="G71" s="11"/>
      <c r="H71" s="12"/>
      <c r="I71" s="12"/>
    </row>
    <row r="72" ht="15.75" customHeight="1">
      <c r="A72" s="7"/>
      <c r="B72" s="7"/>
      <c r="C72" s="7"/>
      <c r="D72" s="7"/>
      <c r="E72" s="7"/>
      <c r="F72" s="11"/>
      <c r="G72" s="11"/>
      <c r="H72" s="12"/>
      <c r="I72" s="12"/>
    </row>
    <row r="73" ht="15.75" customHeight="1">
      <c r="A73" s="7"/>
      <c r="B73" s="7"/>
      <c r="C73" s="7"/>
      <c r="D73" s="7"/>
      <c r="E73" s="7"/>
      <c r="F73" s="11"/>
      <c r="G73" s="11"/>
      <c r="H73" s="12"/>
      <c r="I73" s="12"/>
    </row>
    <row r="74" ht="15.75" customHeight="1">
      <c r="A74" s="7"/>
      <c r="B74" s="7"/>
      <c r="C74" s="7"/>
      <c r="D74" s="7"/>
      <c r="E74" s="7"/>
      <c r="F74" s="11"/>
      <c r="G74" s="11"/>
      <c r="H74" s="12"/>
      <c r="I74" s="12"/>
    </row>
    <row r="75" ht="15.75" customHeight="1">
      <c r="A75" s="7"/>
      <c r="B75" s="7"/>
      <c r="C75" s="7"/>
      <c r="D75" s="7"/>
      <c r="E75" s="7"/>
      <c r="F75" s="11"/>
      <c r="G75" s="11"/>
      <c r="H75" s="12"/>
      <c r="I75" s="12"/>
    </row>
    <row r="76" ht="15.75" customHeight="1">
      <c r="A76" s="7"/>
      <c r="B76" s="7"/>
      <c r="C76" s="7"/>
      <c r="D76" s="7"/>
      <c r="E76" s="7"/>
      <c r="F76" s="11"/>
      <c r="G76" s="11"/>
      <c r="H76" s="12"/>
      <c r="I76" s="12"/>
    </row>
    <row r="77" ht="15.75" customHeight="1">
      <c r="A77" s="7"/>
      <c r="B77" s="7"/>
      <c r="C77" s="7"/>
      <c r="D77" s="7"/>
      <c r="E77" s="7"/>
      <c r="F77" s="11"/>
      <c r="G77" s="11"/>
      <c r="H77" s="12"/>
      <c r="I77" s="12"/>
    </row>
    <row r="78" ht="15.75" customHeight="1">
      <c r="A78" s="7"/>
      <c r="B78" s="7"/>
      <c r="C78" s="7"/>
      <c r="D78" s="7"/>
      <c r="E78" s="7"/>
      <c r="F78" s="11"/>
      <c r="G78" s="11"/>
      <c r="H78" s="12"/>
      <c r="I78" s="12"/>
    </row>
    <row r="79" ht="15.75" customHeight="1">
      <c r="A79" s="7"/>
      <c r="B79" s="7"/>
      <c r="C79" s="7"/>
      <c r="D79" s="7"/>
      <c r="E79" s="7"/>
      <c r="F79" s="11"/>
      <c r="G79" s="11"/>
      <c r="H79" s="12"/>
      <c r="I79" s="12"/>
    </row>
    <row r="80" ht="15.75" customHeight="1">
      <c r="A80" s="7"/>
      <c r="B80" s="7"/>
      <c r="C80" s="7"/>
      <c r="D80" s="7"/>
      <c r="E80" s="7"/>
      <c r="F80" s="11"/>
      <c r="G80" s="11"/>
      <c r="H80" s="12"/>
      <c r="I80" s="12"/>
    </row>
    <row r="81" ht="15.75" customHeight="1">
      <c r="A81" s="7"/>
      <c r="B81" s="7"/>
      <c r="C81" s="7"/>
      <c r="D81" s="7"/>
      <c r="E81" s="7"/>
      <c r="F81" s="11"/>
      <c r="G81" s="11"/>
      <c r="H81" s="12"/>
      <c r="I81" s="12"/>
    </row>
    <row r="82" ht="15.75" customHeight="1">
      <c r="A82" s="7"/>
      <c r="B82" s="7"/>
      <c r="C82" s="7"/>
      <c r="D82" s="7"/>
      <c r="E82" s="7"/>
      <c r="F82" s="11"/>
      <c r="G82" s="11"/>
      <c r="H82" s="12"/>
      <c r="I82" s="12"/>
    </row>
    <row r="83" ht="15.75" customHeight="1">
      <c r="A83" s="7"/>
      <c r="B83" s="7"/>
      <c r="C83" s="7"/>
      <c r="D83" s="7"/>
      <c r="E83" s="7"/>
      <c r="F83" s="11"/>
      <c r="G83" s="11"/>
      <c r="H83" s="12"/>
      <c r="I83" s="12"/>
    </row>
    <row r="84" ht="15.75" customHeight="1">
      <c r="A84" s="7"/>
      <c r="B84" s="7"/>
      <c r="C84" s="7"/>
      <c r="D84" s="7"/>
      <c r="E84" s="7"/>
      <c r="F84" s="11"/>
      <c r="G84" s="11"/>
      <c r="H84" s="12"/>
      <c r="I84" s="12"/>
    </row>
    <row r="85" ht="15.75" customHeight="1">
      <c r="A85" s="7"/>
      <c r="B85" s="7"/>
      <c r="C85" s="7"/>
      <c r="D85" s="7"/>
      <c r="E85" s="7"/>
      <c r="F85" s="11"/>
      <c r="G85" s="11"/>
      <c r="H85" s="12"/>
      <c r="I85" s="12"/>
    </row>
    <row r="86" ht="15.75" customHeight="1">
      <c r="A86" s="7"/>
      <c r="B86" s="7"/>
      <c r="C86" s="7"/>
      <c r="D86" s="7"/>
      <c r="E86" s="7"/>
      <c r="F86" s="11"/>
      <c r="G86" s="11"/>
      <c r="H86" s="12"/>
      <c r="I86" s="12"/>
    </row>
    <row r="87" ht="15.75" customHeight="1">
      <c r="A87" s="7"/>
      <c r="B87" s="7"/>
      <c r="C87" s="7"/>
      <c r="D87" s="7"/>
      <c r="E87" s="7"/>
      <c r="F87" s="11"/>
      <c r="G87" s="11"/>
      <c r="H87" s="12"/>
      <c r="I87" s="12"/>
    </row>
    <row r="88" ht="15.75" customHeight="1">
      <c r="A88" s="7"/>
      <c r="B88" s="7"/>
      <c r="C88" s="7"/>
      <c r="D88" s="7"/>
      <c r="E88" s="7"/>
      <c r="F88" s="11"/>
      <c r="G88" s="11"/>
      <c r="H88" s="12"/>
      <c r="I88" s="12"/>
    </row>
    <row r="89" ht="15.75" customHeight="1">
      <c r="A89" s="7"/>
      <c r="B89" s="7"/>
      <c r="C89" s="7"/>
      <c r="D89" s="7"/>
      <c r="E89" s="7"/>
      <c r="F89" s="11"/>
      <c r="G89" s="11"/>
      <c r="H89" s="12"/>
      <c r="I89" s="12"/>
    </row>
    <row r="90" ht="15.75" customHeight="1">
      <c r="A90" s="7"/>
      <c r="B90" s="7"/>
      <c r="C90" s="7"/>
      <c r="D90" s="7"/>
      <c r="E90" s="7"/>
      <c r="F90" s="11"/>
      <c r="G90" s="11"/>
      <c r="H90" s="12"/>
      <c r="I90" s="12"/>
    </row>
    <row r="91" ht="15.75" customHeight="1">
      <c r="A91" s="7"/>
      <c r="B91" s="7"/>
      <c r="C91" s="7"/>
      <c r="D91" s="7"/>
      <c r="E91" s="7"/>
      <c r="F91" s="11"/>
      <c r="G91" s="11"/>
      <c r="H91" s="12"/>
      <c r="I91" s="12"/>
    </row>
    <row r="92" ht="15.75" customHeight="1">
      <c r="A92" s="7"/>
      <c r="B92" s="7"/>
      <c r="C92" s="7"/>
      <c r="D92" s="7"/>
      <c r="E92" s="7"/>
      <c r="F92" s="11"/>
      <c r="G92" s="11"/>
      <c r="H92" s="12"/>
      <c r="I92" s="12"/>
    </row>
    <row r="93" ht="15.75" customHeight="1">
      <c r="A93" s="7"/>
      <c r="B93" s="7"/>
      <c r="C93" s="7"/>
      <c r="D93" s="7"/>
      <c r="E93" s="7"/>
      <c r="F93" s="11"/>
      <c r="G93" s="11"/>
      <c r="H93" s="12"/>
      <c r="I93" s="12"/>
    </row>
    <row r="94" ht="15.75" customHeight="1">
      <c r="A94" s="7"/>
      <c r="B94" s="7"/>
      <c r="C94" s="7"/>
      <c r="D94" s="7"/>
      <c r="E94" s="7"/>
      <c r="F94" s="11"/>
      <c r="G94" s="11"/>
      <c r="H94" s="12"/>
      <c r="I94" s="12"/>
    </row>
    <row r="95" ht="15.75" customHeight="1">
      <c r="A95" s="7"/>
      <c r="B95" s="7"/>
      <c r="C95" s="7"/>
      <c r="D95" s="7"/>
      <c r="E95" s="7"/>
      <c r="F95" s="11"/>
      <c r="G95" s="11"/>
      <c r="H95" s="12"/>
      <c r="I95" s="12"/>
    </row>
    <row r="96" ht="15.75" customHeight="1">
      <c r="A96" s="7"/>
      <c r="B96" s="7"/>
      <c r="C96" s="7"/>
      <c r="D96" s="7"/>
      <c r="E96" s="7"/>
      <c r="F96" s="11"/>
      <c r="G96" s="11"/>
      <c r="H96" s="12"/>
      <c r="I96" s="12"/>
    </row>
    <row r="97" ht="15.75" customHeight="1">
      <c r="A97" s="7"/>
      <c r="B97" s="7"/>
      <c r="C97" s="7"/>
      <c r="D97" s="7"/>
      <c r="E97" s="7"/>
      <c r="F97" s="11"/>
      <c r="G97" s="11"/>
      <c r="H97" s="12"/>
      <c r="I97" s="12"/>
    </row>
    <row r="98" ht="15.75" customHeight="1">
      <c r="A98" s="7"/>
      <c r="B98" s="7"/>
      <c r="C98" s="7"/>
      <c r="D98" s="7"/>
      <c r="E98" s="7"/>
      <c r="F98" s="11"/>
      <c r="G98" s="11"/>
      <c r="H98" s="12"/>
      <c r="I98" s="12"/>
    </row>
    <row r="99" ht="15.75" customHeight="1">
      <c r="A99" s="7"/>
      <c r="B99" s="7"/>
      <c r="C99" s="7"/>
      <c r="D99" s="7"/>
      <c r="E99" s="7"/>
      <c r="F99" s="11"/>
      <c r="G99" s="11"/>
      <c r="H99" s="12"/>
      <c r="I99" s="12"/>
    </row>
    <row r="100" ht="15.75" customHeight="1">
      <c r="A100" s="7"/>
      <c r="B100" s="7"/>
      <c r="C100" s="7"/>
      <c r="D100" s="7"/>
      <c r="E100" s="7"/>
      <c r="F100" s="11"/>
      <c r="G100" s="11"/>
      <c r="H100" s="12"/>
      <c r="I100" s="12"/>
    </row>
    <row r="101" ht="15.75" customHeight="1">
      <c r="A101" s="7"/>
      <c r="B101" s="7"/>
      <c r="C101" s="7"/>
      <c r="D101" s="7"/>
      <c r="E101" s="7"/>
      <c r="F101" s="11"/>
      <c r="G101" s="11"/>
      <c r="H101" s="12"/>
      <c r="I101" s="12"/>
    </row>
    <row r="102" ht="15.75" customHeight="1">
      <c r="A102" s="7"/>
      <c r="B102" s="7"/>
      <c r="C102" s="7"/>
      <c r="D102" s="7"/>
      <c r="E102" s="7"/>
      <c r="F102" s="11"/>
      <c r="G102" s="11"/>
      <c r="H102" s="12"/>
      <c r="I102" s="12"/>
    </row>
    <row r="103" ht="15.75" customHeight="1">
      <c r="A103" s="7"/>
      <c r="B103" s="7"/>
      <c r="C103" s="7"/>
      <c r="D103" s="7"/>
      <c r="E103" s="7"/>
      <c r="F103" s="11"/>
      <c r="G103" s="11"/>
      <c r="H103" s="12"/>
      <c r="I103" s="12"/>
    </row>
    <row r="104" ht="15.75" customHeight="1">
      <c r="A104" s="7"/>
      <c r="B104" s="7"/>
      <c r="C104" s="7"/>
      <c r="D104" s="7"/>
      <c r="E104" s="7"/>
      <c r="F104" s="11"/>
      <c r="G104" s="11"/>
      <c r="H104" s="12"/>
      <c r="I104" s="12"/>
    </row>
    <row r="105" ht="15.75" customHeight="1">
      <c r="A105" s="7"/>
      <c r="B105" s="7"/>
      <c r="C105" s="7"/>
      <c r="D105" s="7"/>
      <c r="E105" s="7"/>
      <c r="F105" s="11"/>
      <c r="G105" s="11"/>
      <c r="H105" s="12"/>
      <c r="I105" s="12"/>
    </row>
    <row r="106" ht="15.75" customHeight="1">
      <c r="A106" s="7"/>
      <c r="B106" s="7"/>
      <c r="C106" s="7"/>
      <c r="D106" s="7"/>
      <c r="E106" s="7"/>
      <c r="F106" s="11"/>
      <c r="G106" s="11"/>
      <c r="H106" s="12"/>
      <c r="I106" s="12"/>
    </row>
    <row r="107" ht="15.75" customHeight="1">
      <c r="A107" s="7"/>
      <c r="B107" s="7"/>
      <c r="C107" s="7"/>
      <c r="D107" s="7"/>
      <c r="E107" s="7"/>
      <c r="F107" s="11"/>
      <c r="G107" s="11"/>
      <c r="H107" s="12"/>
      <c r="I107" s="12"/>
    </row>
    <row r="108" ht="15.75" customHeight="1">
      <c r="A108" s="7"/>
      <c r="B108" s="7"/>
      <c r="C108" s="7"/>
      <c r="D108" s="7"/>
      <c r="E108" s="7"/>
      <c r="F108" s="11"/>
      <c r="G108" s="11"/>
      <c r="H108" s="12"/>
      <c r="I108" s="12"/>
    </row>
    <row r="109" ht="15.75" customHeight="1">
      <c r="A109" s="7"/>
      <c r="B109" s="7"/>
      <c r="C109" s="7"/>
      <c r="D109" s="7"/>
      <c r="E109" s="7"/>
      <c r="F109" s="11"/>
      <c r="G109" s="11"/>
      <c r="H109" s="12"/>
      <c r="I109" s="12"/>
    </row>
    <row r="110" ht="15.75" customHeight="1">
      <c r="A110" s="7"/>
      <c r="B110" s="7"/>
      <c r="C110" s="7"/>
      <c r="D110" s="7"/>
      <c r="E110" s="7"/>
      <c r="F110" s="11"/>
      <c r="G110" s="11"/>
      <c r="H110" s="12"/>
      <c r="I110" s="12"/>
    </row>
    <row r="111" ht="15.75" customHeight="1">
      <c r="A111" s="7"/>
      <c r="B111" s="7"/>
      <c r="C111" s="7"/>
      <c r="D111" s="7"/>
      <c r="E111" s="7"/>
      <c r="F111" s="11"/>
      <c r="G111" s="11"/>
      <c r="H111" s="12"/>
      <c r="I111" s="12"/>
    </row>
    <row r="112" ht="15.75" customHeight="1">
      <c r="A112" s="7"/>
      <c r="B112" s="7"/>
      <c r="C112" s="7"/>
      <c r="D112" s="7"/>
      <c r="E112" s="7"/>
      <c r="F112" s="11"/>
      <c r="G112" s="11"/>
      <c r="H112" s="12"/>
      <c r="I112" s="12"/>
    </row>
    <row r="113" ht="15.75" customHeight="1">
      <c r="A113" s="7"/>
      <c r="B113" s="7"/>
      <c r="C113" s="7"/>
      <c r="D113" s="7"/>
      <c r="E113" s="7"/>
      <c r="F113" s="11"/>
      <c r="G113" s="11"/>
      <c r="H113" s="12"/>
      <c r="I113" s="12"/>
    </row>
    <row r="114" ht="15.75" customHeight="1">
      <c r="A114" s="7"/>
      <c r="B114" s="7"/>
      <c r="C114" s="7"/>
      <c r="D114" s="7"/>
      <c r="E114" s="7"/>
      <c r="F114" s="11"/>
      <c r="G114" s="11"/>
      <c r="H114" s="12"/>
      <c r="I114" s="12"/>
    </row>
    <row r="115" ht="15.75" customHeight="1">
      <c r="A115" s="7"/>
      <c r="B115" s="7"/>
      <c r="C115" s="7"/>
      <c r="D115" s="7"/>
      <c r="E115" s="7"/>
      <c r="F115" s="11"/>
      <c r="G115" s="11"/>
      <c r="H115" s="12"/>
      <c r="I115" s="12"/>
    </row>
    <row r="116" ht="15.75" customHeight="1">
      <c r="A116" s="7"/>
      <c r="B116" s="7"/>
      <c r="C116" s="7"/>
      <c r="D116" s="7"/>
      <c r="E116" s="7"/>
      <c r="F116" s="11"/>
      <c r="G116" s="11"/>
      <c r="H116" s="12"/>
      <c r="I116" s="12"/>
    </row>
    <row r="117" ht="15.75" customHeight="1">
      <c r="A117" s="7"/>
      <c r="B117" s="7"/>
      <c r="C117" s="7"/>
      <c r="D117" s="7"/>
      <c r="E117" s="7"/>
      <c r="F117" s="11"/>
      <c r="G117" s="11"/>
      <c r="H117" s="12"/>
      <c r="I117" s="12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1">
    <mergeCell ref="A1:I1"/>
  </mergeCells>
  <printOptions/>
  <pageMargins bottom="0.511805555555556" footer="0.0" header="0.0" left="0.0" right="0.0" top="0.511805555555556"/>
  <pageSetup orientation="landscape" paperHeight="8.26771653543307in" paperWidth="12.874015748031496i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51.71"/>
    <col customWidth="1" min="3" max="3" width="17.71"/>
    <col customWidth="1" min="4" max="4" width="26.71"/>
    <col customWidth="1" min="5" max="5" width="12.43"/>
    <col customWidth="1" min="6" max="6" width="16.57"/>
    <col customWidth="1" min="7" max="7" width="18.14"/>
    <col customWidth="1" min="8" max="26" width="8.71"/>
  </cols>
  <sheetData>
    <row r="1">
      <c r="A1" s="1" t="s">
        <v>62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6" t="s">
        <v>8</v>
      </c>
      <c r="I2" s="6"/>
    </row>
    <row r="3">
      <c r="A3" s="7" t="s">
        <v>9</v>
      </c>
      <c r="B3" s="13" t="s">
        <v>13</v>
      </c>
      <c r="C3" s="9" t="s">
        <v>14</v>
      </c>
      <c r="D3" s="9" t="s">
        <v>63</v>
      </c>
      <c r="E3" s="9">
        <v>2.0</v>
      </c>
      <c r="F3" s="10">
        <v>4500.0</v>
      </c>
      <c r="G3" s="11">
        <f t="shared" ref="G3:G6" si="1">E3*F3</f>
        <v>9000</v>
      </c>
      <c r="H3" s="12"/>
      <c r="I3" s="12"/>
    </row>
    <row r="4">
      <c r="A4" s="7" t="s">
        <v>9</v>
      </c>
      <c r="B4" s="13" t="s">
        <v>13</v>
      </c>
      <c r="C4" s="9" t="s">
        <v>14</v>
      </c>
      <c r="D4" s="9" t="s">
        <v>64</v>
      </c>
      <c r="E4" s="9">
        <v>1.0</v>
      </c>
      <c r="F4" s="10">
        <v>4500.0</v>
      </c>
      <c r="G4" s="11">
        <f t="shared" si="1"/>
        <v>4500</v>
      </c>
      <c r="H4" s="12"/>
      <c r="I4" s="12"/>
    </row>
    <row r="5">
      <c r="A5" s="7" t="s">
        <v>9</v>
      </c>
      <c r="B5" s="13" t="s">
        <v>13</v>
      </c>
      <c r="C5" s="9" t="s">
        <v>14</v>
      </c>
      <c r="D5" s="9" t="s">
        <v>65</v>
      </c>
      <c r="E5" s="9">
        <v>2.0</v>
      </c>
      <c r="F5" s="10">
        <v>4500.0</v>
      </c>
      <c r="G5" s="11">
        <f t="shared" si="1"/>
        <v>9000</v>
      </c>
      <c r="H5" s="12"/>
      <c r="I5" s="12"/>
    </row>
    <row r="6">
      <c r="A6" s="7" t="s">
        <v>9</v>
      </c>
      <c r="B6" s="13" t="s">
        <v>13</v>
      </c>
      <c r="C6" s="9" t="s">
        <v>14</v>
      </c>
      <c r="D6" s="9" t="s">
        <v>18</v>
      </c>
      <c r="E6" s="9">
        <v>1.0</v>
      </c>
      <c r="F6" s="10">
        <v>6100.0</v>
      </c>
      <c r="G6" s="11">
        <f t="shared" si="1"/>
        <v>6100</v>
      </c>
      <c r="H6" s="12"/>
      <c r="I6" s="12"/>
    </row>
    <row r="7">
      <c r="A7" s="7" t="s">
        <v>21</v>
      </c>
      <c r="B7" s="9" t="s">
        <v>22</v>
      </c>
      <c r="C7" s="9" t="s">
        <v>23</v>
      </c>
      <c r="D7" s="9" t="s">
        <v>24</v>
      </c>
      <c r="E7" s="9">
        <v>1.0</v>
      </c>
      <c r="F7" s="10">
        <v>548.56</v>
      </c>
      <c r="G7" s="11">
        <f>F7</f>
        <v>548.56</v>
      </c>
      <c r="H7" s="12"/>
      <c r="I7" s="12"/>
    </row>
    <row r="8">
      <c r="A8" s="7" t="s">
        <v>25</v>
      </c>
      <c r="B8" s="16" t="s">
        <v>28</v>
      </c>
      <c r="C8" s="9" t="s">
        <v>29</v>
      </c>
      <c r="D8" s="9" t="s">
        <v>63</v>
      </c>
      <c r="E8" s="9">
        <v>2.0</v>
      </c>
      <c r="F8" s="10">
        <v>450.0</v>
      </c>
      <c r="G8" s="11">
        <f t="shared" ref="G8:G25" si="2">E8*F8</f>
        <v>900</v>
      </c>
      <c r="H8" s="12"/>
      <c r="I8" s="12"/>
    </row>
    <row r="9">
      <c r="A9" s="7" t="s">
        <v>25</v>
      </c>
      <c r="B9" s="16" t="s">
        <v>28</v>
      </c>
      <c r="C9" s="9" t="s">
        <v>29</v>
      </c>
      <c r="D9" s="9" t="s">
        <v>64</v>
      </c>
      <c r="E9" s="9">
        <v>1.0</v>
      </c>
      <c r="F9" s="10">
        <v>450.0</v>
      </c>
      <c r="G9" s="11">
        <f t="shared" si="2"/>
        <v>450</v>
      </c>
      <c r="H9" s="12"/>
      <c r="I9" s="12"/>
    </row>
    <row r="10">
      <c r="A10" s="7" t="s">
        <v>25</v>
      </c>
      <c r="B10" s="16" t="s">
        <v>28</v>
      </c>
      <c r="C10" s="9" t="s">
        <v>29</v>
      </c>
      <c r="D10" s="9" t="s">
        <v>65</v>
      </c>
      <c r="E10" s="9">
        <v>2.0</v>
      </c>
      <c r="F10" s="10">
        <v>450.0</v>
      </c>
      <c r="G10" s="11">
        <f t="shared" si="2"/>
        <v>900</v>
      </c>
      <c r="H10" s="12"/>
      <c r="I10" s="12"/>
    </row>
    <row r="11">
      <c r="A11" s="7" t="s">
        <v>25</v>
      </c>
      <c r="B11" s="16" t="s">
        <v>28</v>
      </c>
      <c r="C11" s="9" t="s">
        <v>29</v>
      </c>
      <c r="D11" s="9" t="s">
        <v>18</v>
      </c>
      <c r="E11" s="9">
        <v>1.0</v>
      </c>
      <c r="F11" s="10">
        <v>450.0</v>
      </c>
      <c r="G11" s="11">
        <f t="shared" si="2"/>
        <v>450</v>
      </c>
      <c r="H11" s="12"/>
      <c r="I11" s="12"/>
    </row>
    <row r="12">
      <c r="A12" s="7" t="s">
        <v>30</v>
      </c>
      <c r="B12" s="15" t="s">
        <v>33</v>
      </c>
      <c r="C12" s="9" t="s">
        <v>32</v>
      </c>
      <c r="D12" s="9" t="s">
        <v>63</v>
      </c>
      <c r="E12" s="9">
        <v>2.0</v>
      </c>
      <c r="F12" s="10">
        <v>665.0</v>
      </c>
      <c r="G12" s="11">
        <f t="shared" si="2"/>
        <v>1330</v>
      </c>
      <c r="H12" s="12"/>
      <c r="I12" s="12"/>
    </row>
    <row r="13">
      <c r="A13" s="7" t="s">
        <v>30</v>
      </c>
      <c r="B13" s="15" t="s">
        <v>33</v>
      </c>
      <c r="C13" s="9" t="s">
        <v>32</v>
      </c>
      <c r="D13" s="9" t="s">
        <v>64</v>
      </c>
      <c r="E13" s="9">
        <v>1.0</v>
      </c>
      <c r="F13" s="10">
        <v>665.0</v>
      </c>
      <c r="G13" s="11">
        <f t="shared" si="2"/>
        <v>665</v>
      </c>
      <c r="H13" s="12"/>
      <c r="I13" s="12"/>
    </row>
    <row r="14">
      <c r="A14" s="7" t="s">
        <v>30</v>
      </c>
      <c r="B14" s="15" t="s">
        <v>33</v>
      </c>
      <c r="C14" s="9" t="s">
        <v>32</v>
      </c>
      <c r="D14" s="9" t="s">
        <v>65</v>
      </c>
      <c r="E14" s="9">
        <v>2.0</v>
      </c>
      <c r="F14" s="10">
        <v>665.0</v>
      </c>
      <c r="G14" s="11">
        <f t="shared" si="2"/>
        <v>1330</v>
      </c>
      <c r="H14" s="12"/>
      <c r="I14" s="12"/>
    </row>
    <row r="15" ht="14.25" customHeight="1">
      <c r="A15" s="7" t="s">
        <v>30</v>
      </c>
      <c r="B15" s="15" t="s">
        <v>33</v>
      </c>
      <c r="C15" s="9" t="s">
        <v>32</v>
      </c>
      <c r="D15" s="9" t="s">
        <v>18</v>
      </c>
      <c r="E15" s="9">
        <v>1.0</v>
      </c>
      <c r="F15" s="10">
        <v>665.0</v>
      </c>
      <c r="G15" s="11">
        <f t="shared" si="2"/>
        <v>665</v>
      </c>
      <c r="H15" s="12"/>
      <c r="I15" s="12"/>
    </row>
    <row r="16" ht="14.25" customHeight="1">
      <c r="A16" s="7" t="s">
        <v>34</v>
      </c>
      <c r="B16" s="16" t="s">
        <v>35</v>
      </c>
      <c r="C16" s="9" t="s">
        <v>36</v>
      </c>
      <c r="D16" s="9" t="s">
        <v>63</v>
      </c>
      <c r="E16" s="9">
        <v>2.0</v>
      </c>
      <c r="F16" s="10">
        <v>99.0</v>
      </c>
      <c r="G16" s="11">
        <f t="shared" si="2"/>
        <v>198</v>
      </c>
      <c r="H16" s="12"/>
      <c r="I16" s="12"/>
    </row>
    <row r="17" ht="14.25" customHeight="1">
      <c r="A17" s="7" t="s">
        <v>34</v>
      </c>
      <c r="B17" s="16" t="s">
        <v>35</v>
      </c>
      <c r="C17" s="9" t="s">
        <v>36</v>
      </c>
      <c r="D17" s="9" t="s">
        <v>64</v>
      </c>
      <c r="E17" s="9">
        <v>1.0</v>
      </c>
      <c r="F17" s="10">
        <v>99.0</v>
      </c>
      <c r="G17" s="11">
        <f t="shared" si="2"/>
        <v>99</v>
      </c>
      <c r="H17" s="12"/>
      <c r="I17" s="12"/>
    </row>
    <row r="18" ht="14.25" customHeight="1">
      <c r="A18" s="7" t="s">
        <v>34</v>
      </c>
      <c r="B18" s="16" t="s">
        <v>35</v>
      </c>
      <c r="C18" s="9" t="s">
        <v>36</v>
      </c>
      <c r="D18" s="9" t="s">
        <v>65</v>
      </c>
      <c r="E18" s="9">
        <v>2.0</v>
      </c>
      <c r="F18" s="10">
        <v>99.0</v>
      </c>
      <c r="G18" s="11">
        <f t="shared" si="2"/>
        <v>198</v>
      </c>
      <c r="H18" s="12"/>
      <c r="I18" s="12"/>
    </row>
    <row r="19">
      <c r="A19" s="7" t="s">
        <v>34</v>
      </c>
      <c r="B19" s="16" t="s">
        <v>35</v>
      </c>
      <c r="C19" s="9" t="s">
        <v>36</v>
      </c>
      <c r="D19" s="9" t="s">
        <v>18</v>
      </c>
      <c r="E19" s="9">
        <v>1.0</v>
      </c>
      <c r="F19" s="10">
        <v>99.0</v>
      </c>
      <c r="G19" s="11">
        <f t="shared" si="2"/>
        <v>99</v>
      </c>
      <c r="H19" s="12"/>
      <c r="I19" s="12"/>
    </row>
    <row r="20">
      <c r="A20" s="7" t="s">
        <v>40</v>
      </c>
      <c r="B20" s="9" t="s">
        <v>41</v>
      </c>
      <c r="C20" s="9" t="s">
        <v>42</v>
      </c>
      <c r="D20" s="9" t="s">
        <v>24</v>
      </c>
      <c r="E20" s="9">
        <v>1.0</v>
      </c>
      <c r="F20" s="10">
        <v>1500.0</v>
      </c>
      <c r="G20" s="11">
        <f t="shared" si="2"/>
        <v>1500</v>
      </c>
      <c r="H20" s="12"/>
      <c r="I20" s="12"/>
    </row>
    <row r="21">
      <c r="A21" s="7" t="s">
        <v>43</v>
      </c>
      <c r="B21" s="9" t="s">
        <v>44</v>
      </c>
      <c r="C21" s="9" t="s">
        <v>42</v>
      </c>
      <c r="D21" s="9" t="s">
        <v>24</v>
      </c>
      <c r="E21" s="8">
        <v>30.0</v>
      </c>
      <c r="F21" s="10">
        <v>70.0</v>
      </c>
      <c r="G21" s="11">
        <f t="shared" si="2"/>
        <v>2100</v>
      </c>
      <c r="H21" s="12"/>
      <c r="I21" s="12"/>
    </row>
    <row r="22">
      <c r="A22" s="7" t="s">
        <v>45</v>
      </c>
      <c r="B22" s="9" t="s">
        <v>46</v>
      </c>
      <c r="C22" s="9" t="s">
        <v>42</v>
      </c>
      <c r="D22" s="9" t="s">
        <v>24</v>
      </c>
      <c r="E22" s="8">
        <v>100.0</v>
      </c>
      <c r="F22" s="10">
        <v>70.0</v>
      </c>
      <c r="G22" s="11">
        <f t="shared" si="2"/>
        <v>7000</v>
      </c>
      <c r="H22" s="12"/>
      <c r="I22" s="12"/>
    </row>
    <row r="23">
      <c r="A23" s="7" t="s">
        <v>47</v>
      </c>
      <c r="B23" s="9" t="s">
        <v>48</v>
      </c>
      <c r="C23" s="9" t="s">
        <v>42</v>
      </c>
      <c r="D23" s="9" t="s">
        <v>24</v>
      </c>
      <c r="E23" s="9">
        <v>30.0</v>
      </c>
      <c r="F23" s="10">
        <v>100.0</v>
      </c>
      <c r="G23" s="11">
        <f t="shared" si="2"/>
        <v>3000</v>
      </c>
      <c r="H23" s="12"/>
      <c r="I23" s="12"/>
    </row>
    <row r="24">
      <c r="A24" s="7" t="s">
        <v>49</v>
      </c>
      <c r="B24" s="9" t="s">
        <v>50</v>
      </c>
      <c r="C24" s="9" t="s">
        <v>42</v>
      </c>
      <c r="D24" s="9" t="s">
        <v>24</v>
      </c>
      <c r="E24" s="9">
        <v>1.0</v>
      </c>
      <c r="F24" s="10">
        <v>3000.0</v>
      </c>
      <c r="G24" s="11">
        <f t="shared" si="2"/>
        <v>3000</v>
      </c>
      <c r="H24" s="12"/>
      <c r="I24" s="12"/>
    </row>
    <row r="25">
      <c r="A25" s="7" t="s">
        <v>51</v>
      </c>
      <c r="B25" s="9" t="s">
        <v>52</v>
      </c>
      <c r="C25" s="9" t="s">
        <v>23</v>
      </c>
      <c r="D25" s="9" t="s">
        <v>24</v>
      </c>
      <c r="E25" s="9">
        <v>1.0</v>
      </c>
      <c r="F25" s="10">
        <v>7352.09</v>
      </c>
      <c r="G25" s="11">
        <f t="shared" si="2"/>
        <v>7352.09</v>
      </c>
      <c r="H25" s="12"/>
      <c r="I25" s="12"/>
    </row>
    <row r="26">
      <c r="A26" s="7"/>
      <c r="B26" s="7"/>
      <c r="C26" s="7"/>
      <c r="D26" s="7"/>
      <c r="E26" s="7"/>
      <c r="F26" s="11"/>
      <c r="G26" s="11"/>
      <c r="H26" s="12"/>
      <c r="I26" s="12"/>
    </row>
    <row r="27">
      <c r="A27" s="7"/>
      <c r="B27" s="7"/>
      <c r="C27" s="7"/>
      <c r="D27" s="7"/>
      <c r="E27" s="7"/>
      <c r="F27" s="11"/>
      <c r="G27" s="11"/>
      <c r="H27" s="12"/>
      <c r="I27" s="12"/>
    </row>
    <row r="28">
      <c r="A28" s="7"/>
      <c r="B28" s="7"/>
      <c r="C28" s="7"/>
      <c r="D28" s="7"/>
      <c r="E28" s="7"/>
      <c r="F28" s="11"/>
      <c r="G28" s="11"/>
      <c r="H28" s="12"/>
      <c r="I28" s="12"/>
    </row>
    <row r="29">
      <c r="A29" s="7"/>
      <c r="B29" s="7"/>
      <c r="C29" s="7"/>
      <c r="D29" s="7"/>
      <c r="E29" s="7"/>
      <c r="F29" s="11"/>
      <c r="G29" s="11"/>
      <c r="H29" s="12"/>
      <c r="I29" s="12"/>
    </row>
    <row r="30">
      <c r="A30" s="7"/>
      <c r="B30" s="7"/>
      <c r="C30" s="7"/>
      <c r="D30" s="7"/>
      <c r="E30" s="7"/>
      <c r="F30" s="11"/>
      <c r="G30" s="11"/>
      <c r="H30" s="12"/>
      <c r="I30" s="12"/>
    </row>
    <row r="31" ht="15.75" customHeight="1">
      <c r="A31" s="7"/>
      <c r="B31" s="7"/>
      <c r="C31" s="7"/>
      <c r="D31" s="7"/>
      <c r="E31" s="7"/>
      <c r="F31" s="11"/>
      <c r="G31" s="11"/>
      <c r="H31" s="12"/>
      <c r="I31" s="12"/>
    </row>
    <row r="32" ht="15.75" customHeight="1">
      <c r="A32" s="7"/>
      <c r="B32" s="7"/>
      <c r="C32" s="7"/>
      <c r="D32" s="7"/>
      <c r="E32" s="7"/>
      <c r="F32" s="11"/>
      <c r="G32" s="11"/>
      <c r="H32" s="12"/>
      <c r="I32" s="12"/>
    </row>
    <row r="33" ht="15.75" customHeight="1">
      <c r="A33" s="7"/>
      <c r="B33" s="7"/>
      <c r="C33" s="7"/>
      <c r="D33" s="7"/>
      <c r="E33" s="7"/>
      <c r="F33" s="11"/>
      <c r="G33" s="11"/>
      <c r="H33" s="12"/>
      <c r="I33" s="12"/>
    </row>
    <row r="34" ht="15.75" customHeight="1">
      <c r="A34" s="7"/>
      <c r="B34" s="7"/>
      <c r="C34" s="7"/>
      <c r="D34" s="7"/>
      <c r="E34" s="7"/>
      <c r="F34" s="11"/>
      <c r="G34" s="11"/>
      <c r="H34" s="12"/>
      <c r="I34" s="12"/>
    </row>
    <row r="35" ht="15.75" customHeight="1">
      <c r="A35" s="7"/>
      <c r="B35" s="7"/>
      <c r="C35" s="7"/>
      <c r="D35" s="7"/>
      <c r="E35" s="7"/>
      <c r="F35" s="11"/>
      <c r="G35" s="11"/>
      <c r="H35" s="12"/>
      <c r="I35" s="12"/>
    </row>
    <row r="36" ht="15.75" customHeight="1">
      <c r="A36" s="7"/>
      <c r="B36" s="7"/>
      <c r="C36" s="7"/>
      <c r="D36" s="7"/>
      <c r="E36" s="7"/>
      <c r="F36" s="11"/>
      <c r="G36" s="11"/>
      <c r="H36" s="12"/>
      <c r="I36" s="12"/>
    </row>
    <row r="37" ht="15.75" customHeight="1">
      <c r="A37" s="7"/>
      <c r="B37" s="7"/>
      <c r="C37" s="7"/>
      <c r="D37" s="7"/>
      <c r="E37" s="7"/>
      <c r="F37" s="11"/>
      <c r="G37" s="11"/>
      <c r="H37" s="12"/>
      <c r="I37" s="12"/>
    </row>
    <row r="38" ht="15.75" customHeight="1">
      <c r="A38" s="7"/>
      <c r="B38" s="7"/>
      <c r="C38" s="7"/>
      <c r="D38" s="7"/>
      <c r="E38" s="7"/>
      <c r="F38" s="11"/>
      <c r="G38" s="11"/>
      <c r="H38" s="12"/>
      <c r="I38" s="12"/>
    </row>
    <row r="39" ht="15.75" customHeight="1">
      <c r="A39" s="7"/>
      <c r="B39" s="7"/>
      <c r="C39" s="7"/>
      <c r="D39" s="7"/>
      <c r="E39" s="7"/>
      <c r="F39" s="11"/>
      <c r="G39" s="11"/>
      <c r="H39" s="12"/>
      <c r="I39" s="12"/>
    </row>
    <row r="40" ht="15.75" customHeight="1">
      <c r="A40" s="7"/>
      <c r="B40" s="7"/>
      <c r="C40" s="7"/>
      <c r="D40" s="7"/>
      <c r="E40" s="7"/>
      <c r="F40" s="11"/>
      <c r="G40" s="11"/>
      <c r="H40" s="12"/>
      <c r="I40" s="12"/>
    </row>
    <row r="41" ht="15.75" customHeight="1">
      <c r="A41" s="7"/>
      <c r="B41" s="7"/>
      <c r="C41" s="7"/>
      <c r="D41" s="7"/>
      <c r="E41" s="7"/>
      <c r="F41" s="11"/>
      <c r="G41" s="11"/>
      <c r="H41" s="12"/>
      <c r="I41" s="12"/>
    </row>
    <row r="42" ht="15.75" customHeight="1">
      <c r="A42" s="7"/>
      <c r="B42" s="7"/>
      <c r="C42" s="7"/>
      <c r="D42" s="7"/>
      <c r="E42" s="7"/>
      <c r="F42" s="11"/>
      <c r="G42" s="11"/>
      <c r="H42" s="12"/>
      <c r="I42" s="12"/>
    </row>
    <row r="43" ht="15.75" customHeight="1">
      <c r="A43" s="7"/>
      <c r="B43" s="7"/>
      <c r="C43" s="7"/>
      <c r="D43" s="7"/>
      <c r="E43" s="7"/>
      <c r="F43" s="11"/>
      <c r="G43" s="11"/>
      <c r="H43" s="12"/>
      <c r="I43" s="12"/>
    </row>
    <row r="44" ht="15.75" customHeight="1">
      <c r="A44" s="7"/>
      <c r="B44" s="7"/>
      <c r="C44" s="7"/>
      <c r="D44" s="7"/>
      <c r="E44" s="7"/>
      <c r="F44" s="11"/>
      <c r="G44" s="11"/>
      <c r="H44" s="12"/>
      <c r="I44" s="12"/>
    </row>
    <row r="45" ht="15.75" customHeight="1">
      <c r="A45" s="7"/>
      <c r="B45" s="7"/>
      <c r="C45" s="7"/>
      <c r="D45" s="7"/>
      <c r="E45" s="7"/>
      <c r="F45" s="11"/>
      <c r="G45" s="11"/>
      <c r="H45" s="12"/>
      <c r="I45" s="12"/>
    </row>
    <row r="46" ht="15.75" customHeight="1">
      <c r="A46" s="7"/>
      <c r="B46" s="7"/>
      <c r="C46" s="7"/>
      <c r="D46" s="7"/>
      <c r="E46" s="7"/>
      <c r="F46" s="11"/>
      <c r="G46" s="11"/>
      <c r="H46" s="12"/>
      <c r="I46" s="12"/>
    </row>
    <row r="47" ht="15.75" customHeight="1">
      <c r="A47" s="7"/>
      <c r="B47" s="7"/>
      <c r="C47" s="7"/>
      <c r="D47" s="7"/>
      <c r="E47" s="7"/>
      <c r="F47" s="11"/>
      <c r="G47" s="11"/>
      <c r="H47" s="12"/>
      <c r="I47" s="12"/>
    </row>
    <row r="48" ht="15.75" customHeight="1">
      <c r="A48" s="7"/>
      <c r="B48" s="7"/>
      <c r="C48" s="7"/>
      <c r="D48" s="7"/>
      <c r="E48" s="7"/>
      <c r="F48" s="11"/>
      <c r="G48" s="11"/>
      <c r="H48" s="12"/>
      <c r="I48" s="12"/>
    </row>
    <row r="49" ht="15.75" customHeight="1">
      <c r="A49" s="7"/>
      <c r="B49" s="7"/>
      <c r="C49" s="7"/>
      <c r="D49" s="7"/>
      <c r="E49" s="7"/>
      <c r="F49" s="11"/>
      <c r="G49" s="11"/>
      <c r="H49" s="12"/>
      <c r="I49" s="12"/>
    </row>
    <row r="50" ht="15.75" customHeight="1">
      <c r="A50" s="7"/>
      <c r="B50" s="7"/>
      <c r="C50" s="7"/>
      <c r="D50" s="7"/>
      <c r="E50" s="7"/>
      <c r="F50" s="11"/>
      <c r="G50" s="11"/>
      <c r="H50" s="12"/>
      <c r="I50" s="12"/>
    </row>
    <row r="51" ht="15.75" customHeight="1">
      <c r="A51" s="7"/>
      <c r="B51" s="7"/>
      <c r="C51" s="7"/>
      <c r="D51" s="7"/>
      <c r="E51" s="7"/>
      <c r="F51" s="11"/>
      <c r="G51" s="11"/>
      <c r="H51" s="12"/>
      <c r="I51" s="12"/>
    </row>
    <row r="52" ht="15.75" customHeight="1">
      <c r="A52" s="7"/>
      <c r="B52" s="7"/>
      <c r="C52" s="7"/>
      <c r="D52" s="7"/>
      <c r="E52" s="7"/>
      <c r="F52" s="11"/>
      <c r="G52" s="11"/>
      <c r="H52" s="12"/>
      <c r="I52" s="12"/>
    </row>
    <row r="53" ht="15.75" customHeight="1">
      <c r="A53" s="7"/>
      <c r="B53" s="7"/>
      <c r="C53" s="7"/>
      <c r="D53" s="7"/>
      <c r="E53" s="7"/>
      <c r="F53" s="11"/>
      <c r="G53" s="11"/>
      <c r="H53" s="12"/>
      <c r="I53" s="12"/>
    </row>
    <row r="54" ht="15.75" customHeight="1">
      <c r="A54" s="7"/>
      <c r="B54" s="7"/>
      <c r="C54" s="7"/>
      <c r="D54" s="7"/>
      <c r="E54" s="7"/>
      <c r="F54" s="11"/>
      <c r="G54" s="11"/>
      <c r="H54" s="12"/>
      <c r="I54" s="12"/>
    </row>
    <row r="55" ht="15.75" customHeight="1">
      <c r="A55" s="7"/>
      <c r="B55" s="7"/>
      <c r="C55" s="7"/>
      <c r="D55" s="7"/>
      <c r="E55" s="7"/>
      <c r="F55" s="11"/>
      <c r="G55" s="11"/>
      <c r="H55" s="12"/>
      <c r="I55" s="12"/>
    </row>
    <row r="56" ht="15.75" customHeight="1">
      <c r="A56" s="7"/>
      <c r="B56" s="7"/>
      <c r="C56" s="7"/>
      <c r="D56" s="7"/>
      <c r="E56" s="7"/>
      <c r="F56" s="11"/>
      <c r="G56" s="11"/>
      <c r="H56" s="12"/>
      <c r="I56" s="12"/>
    </row>
    <row r="57" ht="15.75" customHeight="1">
      <c r="A57" s="7"/>
      <c r="B57" s="7"/>
      <c r="C57" s="7"/>
      <c r="D57" s="7"/>
      <c r="E57" s="7"/>
      <c r="F57" s="11"/>
      <c r="G57" s="11"/>
      <c r="H57" s="12"/>
      <c r="I57" s="12"/>
    </row>
    <row r="58" ht="15.75" customHeight="1">
      <c r="A58" s="7"/>
      <c r="B58" s="7"/>
      <c r="C58" s="7"/>
      <c r="D58" s="7"/>
      <c r="E58" s="7"/>
      <c r="F58" s="11"/>
      <c r="G58" s="11"/>
      <c r="H58" s="12"/>
      <c r="I58" s="12"/>
    </row>
    <row r="59" ht="15.75" customHeight="1">
      <c r="A59" s="7"/>
      <c r="B59" s="7"/>
      <c r="C59" s="7"/>
      <c r="D59" s="7"/>
      <c r="E59" s="7"/>
      <c r="F59" s="11"/>
      <c r="G59" s="11"/>
      <c r="H59" s="12"/>
      <c r="I59" s="12"/>
    </row>
    <row r="60" ht="15.75" customHeight="1">
      <c r="A60" s="7"/>
      <c r="B60" s="7"/>
      <c r="C60" s="7"/>
      <c r="D60" s="7"/>
      <c r="E60" s="7"/>
      <c r="F60" s="11"/>
      <c r="G60" s="11"/>
      <c r="H60" s="12"/>
      <c r="I60" s="12"/>
    </row>
    <row r="61" ht="15.75" customHeight="1">
      <c r="A61" s="7"/>
      <c r="B61" s="7"/>
      <c r="C61" s="7"/>
      <c r="D61" s="7"/>
      <c r="E61" s="7"/>
      <c r="F61" s="11"/>
      <c r="G61" s="11"/>
      <c r="H61" s="12"/>
      <c r="I61" s="12"/>
    </row>
    <row r="62" ht="15.75" customHeight="1">
      <c r="A62" s="7"/>
      <c r="B62" s="7"/>
      <c r="C62" s="7"/>
      <c r="D62" s="7"/>
      <c r="E62" s="7"/>
      <c r="F62" s="11"/>
      <c r="G62" s="11"/>
      <c r="H62" s="12"/>
      <c r="I62" s="12"/>
    </row>
    <row r="63" ht="15.75" customHeight="1">
      <c r="A63" s="7"/>
      <c r="B63" s="7"/>
      <c r="C63" s="7"/>
      <c r="D63" s="7"/>
      <c r="E63" s="7"/>
      <c r="F63" s="11"/>
      <c r="G63" s="11"/>
      <c r="H63" s="12"/>
      <c r="I63" s="12"/>
    </row>
    <row r="64" ht="15.75" customHeight="1">
      <c r="A64" s="7"/>
      <c r="B64" s="7"/>
      <c r="C64" s="7"/>
      <c r="D64" s="7"/>
      <c r="E64" s="7"/>
      <c r="F64" s="11"/>
      <c r="G64" s="11"/>
      <c r="H64" s="12"/>
      <c r="I64" s="12"/>
    </row>
    <row r="65" ht="15.75" customHeight="1">
      <c r="A65" s="7"/>
      <c r="B65" s="7"/>
      <c r="C65" s="7"/>
      <c r="D65" s="7"/>
      <c r="E65" s="7"/>
      <c r="F65" s="11"/>
      <c r="G65" s="11"/>
      <c r="H65" s="12"/>
      <c r="I65" s="12"/>
    </row>
    <row r="66" ht="15.75" customHeight="1">
      <c r="A66" s="7"/>
      <c r="B66" s="7"/>
      <c r="C66" s="7"/>
      <c r="D66" s="7"/>
      <c r="E66" s="7"/>
      <c r="F66" s="11"/>
      <c r="G66" s="11"/>
      <c r="H66" s="12"/>
      <c r="I66" s="12"/>
    </row>
    <row r="67" ht="15.75" customHeight="1">
      <c r="A67" s="7"/>
      <c r="B67" s="7"/>
      <c r="C67" s="7"/>
      <c r="D67" s="7"/>
      <c r="E67" s="7"/>
      <c r="F67" s="11"/>
      <c r="G67" s="11"/>
      <c r="H67" s="12"/>
      <c r="I67" s="12"/>
    </row>
    <row r="68" ht="15.75" customHeight="1">
      <c r="A68" s="7"/>
      <c r="B68" s="7"/>
      <c r="C68" s="7"/>
      <c r="D68" s="7"/>
      <c r="E68" s="7"/>
      <c r="F68" s="11"/>
      <c r="G68" s="11"/>
      <c r="H68" s="12"/>
      <c r="I68" s="12"/>
    </row>
    <row r="69" ht="15.75" customHeight="1">
      <c r="A69" s="7"/>
      <c r="B69" s="7"/>
      <c r="C69" s="7"/>
      <c r="D69" s="7"/>
      <c r="E69" s="7"/>
      <c r="F69" s="11"/>
      <c r="G69" s="11"/>
      <c r="H69" s="12"/>
      <c r="I69" s="12"/>
    </row>
    <row r="70" ht="15.75" customHeight="1">
      <c r="A70" s="7"/>
      <c r="B70" s="7"/>
      <c r="C70" s="7"/>
      <c r="D70" s="7"/>
      <c r="E70" s="7"/>
      <c r="F70" s="11"/>
      <c r="G70" s="11"/>
      <c r="H70" s="12"/>
      <c r="I70" s="12"/>
    </row>
    <row r="71" ht="15.75" customHeight="1">
      <c r="A71" s="7"/>
      <c r="B71" s="7"/>
      <c r="C71" s="7"/>
      <c r="D71" s="7"/>
      <c r="E71" s="7"/>
      <c r="F71" s="11"/>
      <c r="G71" s="11"/>
      <c r="H71" s="12"/>
      <c r="I71" s="12"/>
    </row>
    <row r="72" ht="15.75" customHeight="1">
      <c r="A72" s="7"/>
      <c r="B72" s="7"/>
      <c r="C72" s="7"/>
      <c r="D72" s="7"/>
      <c r="E72" s="7"/>
      <c r="F72" s="11"/>
      <c r="G72" s="11"/>
      <c r="H72" s="12"/>
      <c r="I72" s="12"/>
    </row>
    <row r="73" ht="15.75" customHeight="1">
      <c r="A73" s="7"/>
      <c r="B73" s="7"/>
      <c r="C73" s="7"/>
      <c r="D73" s="7"/>
      <c r="E73" s="7"/>
      <c r="F73" s="11"/>
      <c r="G73" s="11"/>
      <c r="H73" s="12"/>
      <c r="I73" s="12"/>
    </row>
    <row r="74" ht="15.75" customHeight="1">
      <c r="A74" s="7"/>
      <c r="B74" s="7"/>
      <c r="C74" s="7"/>
      <c r="D74" s="7"/>
      <c r="E74" s="7"/>
      <c r="F74" s="11"/>
      <c r="G74" s="11"/>
      <c r="H74" s="12"/>
      <c r="I74" s="12"/>
    </row>
    <row r="75" ht="15.75" customHeight="1">
      <c r="A75" s="7"/>
      <c r="B75" s="7"/>
      <c r="C75" s="7"/>
      <c r="D75" s="7"/>
      <c r="E75" s="7"/>
      <c r="F75" s="11"/>
      <c r="G75" s="11"/>
      <c r="H75" s="12"/>
      <c r="I75" s="12"/>
    </row>
    <row r="76" ht="15.75" customHeight="1">
      <c r="A76" s="7"/>
      <c r="B76" s="7"/>
      <c r="C76" s="7"/>
      <c r="D76" s="7"/>
      <c r="E76" s="7"/>
      <c r="F76" s="11"/>
      <c r="G76" s="11"/>
      <c r="H76" s="12"/>
      <c r="I76" s="12"/>
    </row>
    <row r="77" ht="15.75" customHeight="1">
      <c r="A77" s="7"/>
      <c r="B77" s="7"/>
      <c r="C77" s="7"/>
      <c r="D77" s="7"/>
      <c r="E77" s="7"/>
      <c r="F77" s="11"/>
      <c r="G77" s="11"/>
      <c r="H77" s="12"/>
      <c r="I77" s="12"/>
    </row>
    <row r="78" ht="15.75" customHeight="1">
      <c r="A78" s="7"/>
      <c r="B78" s="7"/>
      <c r="C78" s="7"/>
      <c r="D78" s="7"/>
      <c r="E78" s="7"/>
      <c r="F78" s="11"/>
      <c r="G78" s="11"/>
      <c r="H78" s="12"/>
      <c r="I78" s="12"/>
    </row>
    <row r="79" ht="15.75" customHeight="1">
      <c r="A79" s="7"/>
      <c r="B79" s="7"/>
      <c r="C79" s="7"/>
      <c r="D79" s="7"/>
      <c r="E79" s="7"/>
      <c r="F79" s="11"/>
      <c r="G79" s="11"/>
      <c r="H79" s="12"/>
      <c r="I79" s="12"/>
    </row>
    <row r="80" ht="15.75" customHeight="1">
      <c r="A80" s="7"/>
      <c r="B80" s="7"/>
      <c r="C80" s="7"/>
      <c r="D80" s="7"/>
      <c r="E80" s="7"/>
      <c r="F80" s="11"/>
      <c r="G80" s="11"/>
      <c r="H80" s="12"/>
      <c r="I80" s="12"/>
    </row>
    <row r="81" ht="15.75" customHeight="1">
      <c r="A81" s="7"/>
      <c r="B81" s="7"/>
      <c r="C81" s="7"/>
      <c r="D81" s="7"/>
      <c r="E81" s="7"/>
      <c r="F81" s="11"/>
      <c r="G81" s="11"/>
      <c r="H81" s="12"/>
      <c r="I81" s="12"/>
    </row>
    <row r="82" ht="15.75" customHeight="1">
      <c r="A82" s="7"/>
      <c r="B82" s="7"/>
      <c r="C82" s="7"/>
      <c r="D82" s="7"/>
      <c r="E82" s="7"/>
      <c r="F82" s="11"/>
      <c r="G82" s="11"/>
      <c r="H82" s="12"/>
      <c r="I82" s="12"/>
    </row>
    <row r="83" ht="15.75" customHeight="1">
      <c r="A83" s="7"/>
      <c r="B83" s="7"/>
      <c r="C83" s="7"/>
      <c r="D83" s="7"/>
      <c r="E83" s="7"/>
      <c r="F83" s="11"/>
      <c r="G83" s="11"/>
      <c r="H83" s="12"/>
      <c r="I83" s="12"/>
    </row>
    <row r="84" ht="15.75" customHeight="1">
      <c r="A84" s="7"/>
      <c r="B84" s="7"/>
      <c r="C84" s="7"/>
      <c r="D84" s="7"/>
      <c r="E84" s="7"/>
      <c r="F84" s="11"/>
      <c r="G84" s="11"/>
      <c r="H84" s="12"/>
      <c r="I84" s="12"/>
    </row>
    <row r="85" ht="15.75" customHeight="1">
      <c r="A85" s="7"/>
      <c r="B85" s="7"/>
      <c r="C85" s="7"/>
      <c r="D85" s="7"/>
      <c r="E85" s="7"/>
      <c r="F85" s="11"/>
      <c r="G85" s="11"/>
      <c r="H85" s="12"/>
      <c r="I85" s="12"/>
    </row>
    <row r="86" ht="15.75" customHeight="1">
      <c r="A86" s="7"/>
      <c r="B86" s="7"/>
      <c r="C86" s="7"/>
      <c r="D86" s="7"/>
      <c r="E86" s="7"/>
      <c r="F86" s="11"/>
      <c r="G86" s="11"/>
      <c r="H86" s="12"/>
      <c r="I86" s="12"/>
    </row>
    <row r="87" ht="15.75" customHeight="1">
      <c r="A87" s="7"/>
      <c r="B87" s="7"/>
      <c r="C87" s="7"/>
      <c r="D87" s="7"/>
      <c r="E87" s="7"/>
      <c r="F87" s="11"/>
      <c r="G87" s="11"/>
      <c r="H87" s="12"/>
      <c r="I87" s="12"/>
    </row>
    <row r="88" ht="15.75" customHeight="1">
      <c r="A88" s="7"/>
      <c r="B88" s="7"/>
      <c r="C88" s="7"/>
      <c r="D88" s="7"/>
      <c r="E88" s="7"/>
      <c r="F88" s="11"/>
      <c r="G88" s="11"/>
      <c r="H88" s="12"/>
      <c r="I88" s="12"/>
    </row>
    <row r="89" ht="15.75" customHeight="1">
      <c r="A89" s="7"/>
      <c r="B89" s="7"/>
      <c r="C89" s="7"/>
      <c r="D89" s="7"/>
      <c r="E89" s="7"/>
      <c r="F89" s="11"/>
      <c r="G89" s="11"/>
      <c r="H89" s="12"/>
      <c r="I89" s="12"/>
    </row>
    <row r="90" ht="15.75" customHeight="1">
      <c r="A90" s="7"/>
      <c r="B90" s="7"/>
      <c r="C90" s="7"/>
      <c r="D90" s="7"/>
      <c r="E90" s="7"/>
      <c r="F90" s="11"/>
      <c r="G90" s="11"/>
      <c r="H90" s="12"/>
      <c r="I90" s="12"/>
    </row>
    <row r="91" ht="15.75" customHeight="1">
      <c r="A91" s="7"/>
      <c r="B91" s="7"/>
      <c r="C91" s="7"/>
      <c r="D91" s="7"/>
      <c r="E91" s="7"/>
      <c r="F91" s="11"/>
      <c r="G91" s="11"/>
      <c r="H91" s="12"/>
      <c r="I91" s="12"/>
    </row>
    <row r="92" ht="15.75" customHeight="1">
      <c r="A92" s="7"/>
      <c r="B92" s="7"/>
      <c r="C92" s="7"/>
      <c r="D92" s="7"/>
      <c r="E92" s="7"/>
      <c r="F92" s="11"/>
      <c r="G92" s="11"/>
      <c r="H92" s="12"/>
      <c r="I92" s="12"/>
    </row>
    <row r="93" ht="15.75" customHeight="1">
      <c r="A93" s="7"/>
      <c r="B93" s="7"/>
      <c r="C93" s="7"/>
      <c r="D93" s="7"/>
      <c r="E93" s="7"/>
      <c r="F93" s="11"/>
      <c r="G93" s="11"/>
      <c r="H93" s="12"/>
      <c r="I93" s="12"/>
    </row>
    <row r="94" ht="15.75" customHeight="1">
      <c r="A94" s="7"/>
      <c r="B94" s="7"/>
      <c r="C94" s="7"/>
      <c r="D94" s="7"/>
      <c r="E94" s="7"/>
      <c r="F94" s="11"/>
      <c r="G94" s="11"/>
      <c r="H94" s="12"/>
      <c r="I94" s="12"/>
    </row>
    <row r="95" ht="15.75" customHeight="1">
      <c r="A95" s="7"/>
      <c r="B95" s="7"/>
      <c r="C95" s="7"/>
      <c r="D95" s="7"/>
      <c r="E95" s="7"/>
      <c r="F95" s="11"/>
      <c r="G95" s="11"/>
      <c r="H95" s="12"/>
      <c r="I95" s="12"/>
    </row>
    <row r="96" ht="15.75" customHeight="1">
      <c r="A96" s="7"/>
      <c r="B96" s="7"/>
      <c r="C96" s="7"/>
      <c r="D96" s="7"/>
      <c r="E96" s="7"/>
      <c r="F96" s="11"/>
      <c r="G96" s="11"/>
      <c r="H96" s="12"/>
      <c r="I96" s="12"/>
    </row>
    <row r="97" ht="15.75" customHeight="1">
      <c r="A97" s="7"/>
      <c r="B97" s="7"/>
      <c r="C97" s="7"/>
      <c r="D97" s="7"/>
      <c r="E97" s="7"/>
      <c r="F97" s="11"/>
      <c r="G97" s="11"/>
      <c r="H97" s="12"/>
      <c r="I97" s="12"/>
    </row>
    <row r="98" ht="15.75" customHeight="1">
      <c r="A98" s="7"/>
      <c r="B98" s="7"/>
      <c r="C98" s="7"/>
      <c r="D98" s="7"/>
      <c r="E98" s="7"/>
      <c r="F98" s="11"/>
      <c r="G98" s="11"/>
      <c r="H98" s="12"/>
      <c r="I98" s="12"/>
    </row>
    <row r="99" ht="15.75" customHeight="1">
      <c r="A99" s="7"/>
      <c r="B99" s="7"/>
      <c r="C99" s="7"/>
      <c r="D99" s="7"/>
      <c r="E99" s="7"/>
      <c r="F99" s="11"/>
      <c r="G99" s="11"/>
      <c r="H99" s="12"/>
      <c r="I99" s="12"/>
    </row>
    <row r="100" ht="15.75" customHeight="1">
      <c r="A100" s="7"/>
      <c r="B100" s="7"/>
      <c r="C100" s="7"/>
      <c r="D100" s="7"/>
      <c r="E100" s="7"/>
      <c r="F100" s="11"/>
      <c r="G100" s="11"/>
      <c r="H100" s="12"/>
      <c r="I100" s="12"/>
    </row>
    <row r="101" ht="15.75" customHeight="1">
      <c r="A101" s="7"/>
      <c r="B101" s="7"/>
      <c r="C101" s="7"/>
      <c r="D101" s="7"/>
      <c r="E101" s="7"/>
      <c r="F101" s="11"/>
      <c r="G101" s="11"/>
      <c r="H101" s="12"/>
      <c r="I101" s="12"/>
    </row>
    <row r="102" ht="15.75" customHeight="1">
      <c r="A102" s="7"/>
      <c r="B102" s="7"/>
      <c r="C102" s="7"/>
      <c r="D102" s="7"/>
      <c r="E102" s="7"/>
      <c r="F102" s="11"/>
      <c r="G102" s="11"/>
      <c r="H102" s="12"/>
      <c r="I102" s="12"/>
    </row>
    <row r="103" ht="15.75" customHeight="1">
      <c r="A103" s="7"/>
      <c r="B103" s="7"/>
      <c r="C103" s="7"/>
      <c r="D103" s="7"/>
      <c r="E103" s="7"/>
      <c r="F103" s="11"/>
      <c r="G103" s="11"/>
      <c r="H103" s="12"/>
      <c r="I103" s="12"/>
    </row>
    <row r="104" ht="15.75" customHeight="1">
      <c r="A104" s="7"/>
      <c r="B104" s="7"/>
      <c r="C104" s="7"/>
      <c r="D104" s="7"/>
      <c r="E104" s="7"/>
      <c r="F104" s="11"/>
      <c r="G104" s="11"/>
      <c r="H104" s="12"/>
      <c r="I104" s="12"/>
    </row>
    <row r="105" ht="15.75" customHeight="1">
      <c r="A105" s="7"/>
      <c r="B105" s="7"/>
      <c r="C105" s="7"/>
      <c r="D105" s="7"/>
      <c r="E105" s="7"/>
      <c r="F105" s="11"/>
      <c r="G105" s="11"/>
      <c r="H105" s="12"/>
      <c r="I105" s="12"/>
    </row>
    <row r="106" ht="15.75" customHeight="1">
      <c r="A106" s="7"/>
      <c r="B106" s="7"/>
      <c r="C106" s="7"/>
      <c r="D106" s="7"/>
      <c r="E106" s="7"/>
      <c r="F106" s="11"/>
      <c r="G106" s="11"/>
      <c r="H106" s="12"/>
      <c r="I106" s="12"/>
    </row>
    <row r="107" ht="15.75" customHeight="1">
      <c r="A107" s="7"/>
      <c r="B107" s="7"/>
      <c r="C107" s="7"/>
      <c r="D107" s="7"/>
      <c r="E107" s="7"/>
      <c r="F107" s="11"/>
      <c r="G107" s="11"/>
      <c r="H107" s="12"/>
      <c r="I107" s="12"/>
    </row>
    <row r="108" ht="15.75" customHeight="1">
      <c r="A108" s="7"/>
      <c r="B108" s="7"/>
      <c r="C108" s="7"/>
      <c r="D108" s="7"/>
      <c r="E108" s="7"/>
      <c r="F108" s="11"/>
      <c r="G108" s="11"/>
      <c r="H108" s="12"/>
      <c r="I108" s="12"/>
    </row>
    <row r="109" ht="15.75" customHeight="1">
      <c r="A109" s="7"/>
      <c r="B109" s="7"/>
      <c r="C109" s="7"/>
      <c r="D109" s="7"/>
      <c r="E109" s="7"/>
      <c r="F109" s="11"/>
      <c r="G109" s="11"/>
      <c r="H109" s="12"/>
      <c r="I109" s="12"/>
    </row>
    <row r="110" ht="15.75" customHeight="1">
      <c r="A110" s="7"/>
      <c r="B110" s="7"/>
      <c r="C110" s="7"/>
      <c r="D110" s="7"/>
      <c r="E110" s="7"/>
      <c r="F110" s="11"/>
      <c r="G110" s="11"/>
      <c r="H110" s="12"/>
      <c r="I110" s="12"/>
    </row>
    <row r="111" ht="15.75" customHeight="1">
      <c r="A111" s="7"/>
      <c r="B111" s="7"/>
      <c r="C111" s="7"/>
      <c r="D111" s="7"/>
      <c r="E111" s="7"/>
      <c r="F111" s="11"/>
      <c r="G111" s="11"/>
      <c r="H111" s="12"/>
      <c r="I111" s="12"/>
    </row>
    <row r="112" ht="15.75" customHeight="1">
      <c r="A112" s="7"/>
      <c r="B112" s="7"/>
      <c r="C112" s="7"/>
      <c r="D112" s="7"/>
      <c r="E112" s="7"/>
      <c r="F112" s="11"/>
      <c r="G112" s="11"/>
      <c r="H112" s="12"/>
      <c r="I112" s="12"/>
    </row>
    <row r="113" ht="15.75" customHeight="1">
      <c r="A113" s="7"/>
      <c r="B113" s="7"/>
      <c r="C113" s="7"/>
      <c r="D113" s="7"/>
      <c r="E113" s="7"/>
      <c r="F113" s="11"/>
      <c r="G113" s="11"/>
      <c r="H113" s="12"/>
      <c r="I113" s="12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">
    <mergeCell ref="A1:I1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53.29"/>
    <col customWidth="1" min="3" max="3" width="11.86"/>
    <col customWidth="1" min="4" max="4" width="26.57"/>
    <col customWidth="1" min="5" max="5" width="12.71"/>
    <col customWidth="1" min="6" max="6" width="13.57"/>
    <col customWidth="1" min="7" max="7" width="14.0"/>
    <col customWidth="1" min="8" max="26" width="8.71"/>
  </cols>
  <sheetData>
    <row r="1">
      <c r="A1" s="19" t="s">
        <v>66</v>
      </c>
      <c r="B1" s="2"/>
      <c r="C1" s="2"/>
      <c r="D1" s="2"/>
      <c r="E1" s="2"/>
      <c r="F1" s="2"/>
      <c r="G1" s="2"/>
      <c r="H1" s="2"/>
      <c r="I1" s="3"/>
    </row>
    <row r="2">
      <c r="A2" s="20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2" t="s">
        <v>6</v>
      </c>
      <c r="G2" s="22" t="s">
        <v>7</v>
      </c>
      <c r="H2" s="23" t="s">
        <v>8</v>
      </c>
      <c r="I2" s="24"/>
    </row>
    <row r="3">
      <c r="A3" s="25" t="s">
        <v>9</v>
      </c>
      <c r="B3" s="26" t="s">
        <v>13</v>
      </c>
      <c r="C3" s="27" t="s">
        <v>14</v>
      </c>
      <c r="D3" s="27" t="s">
        <v>63</v>
      </c>
      <c r="E3" s="28">
        <v>2.0</v>
      </c>
      <c r="F3" s="29">
        <v>4500.0</v>
      </c>
      <c r="G3" s="29">
        <f t="shared" ref="G3:G6" si="1">E3*F3</f>
        <v>9000</v>
      </c>
      <c r="H3" s="30"/>
      <c r="I3" s="30"/>
    </row>
    <row r="4">
      <c r="A4" s="25" t="s">
        <v>9</v>
      </c>
      <c r="B4" s="26" t="s">
        <v>13</v>
      </c>
      <c r="C4" s="27" t="s">
        <v>14</v>
      </c>
      <c r="D4" s="27" t="s">
        <v>64</v>
      </c>
      <c r="E4" s="28">
        <v>1.0</v>
      </c>
      <c r="F4" s="29">
        <v>4500.0</v>
      </c>
      <c r="G4" s="29">
        <f t="shared" si="1"/>
        <v>4500</v>
      </c>
      <c r="H4" s="30"/>
      <c r="I4" s="30"/>
    </row>
    <row r="5">
      <c r="A5" s="25" t="s">
        <v>9</v>
      </c>
      <c r="B5" s="26" t="s">
        <v>13</v>
      </c>
      <c r="C5" s="27" t="s">
        <v>14</v>
      </c>
      <c r="D5" s="27" t="s">
        <v>65</v>
      </c>
      <c r="E5" s="28">
        <v>2.0</v>
      </c>
      <c r="F5" s="29">
        <v>4500.0</v>
      </c>
      <c r="G5" s="29">
        <f t="shared" si="1"/>
        <v>9000</v>
      </c>
      <c r="H5" s="30"/>
      <c r="I5" s="30"/>
    </row>
    <row r="6">
      <c r="A6" s="7" t="s">
        <v>9</v>
      </c>
      <c r="B6" s="13" t="s">
        <v>13</v>
      </c>
      <c r="C6" s="9" t="s">
        <v>14</v>
      </c>
      <c r="D6" s="9" t="s">
        <v>18</v>
      </c>
      <c r="E6" s="9">
        <v>1.0</v>
      </c>
      <c r="F6" s="10">
        <v>6100.0</v>
      </c>
      <c r="G6" s="11">
        <f t="shared" si="1"/>
        <v>6100</v>
      </c>
      <c r="H6" s="30"/>
      <c r="I6" s="30"/>
    </row>
    <row r="7">
      <c r="A7" s="25" t="s">
        <v>21</v>
      </c>
      <c r="B7" s="27" t="s">
        <v>22</v>
      </c>
      <c r="C7" s="27" t="s">
        <v>23</v>
      </c>
      <c r="D7" s="27" t="s">
        <v>24</v>
      </c>
      <c r="E7" s="28">
        <v>1.0</v>
      </c>
      <c r="F7" s="29">
        <v>548.56</v>
      </c>
      <c r="G7" s="29">
        <f>F7</f>
        <v>548.56</v>
      </c>
      <c r="H7" s="30"/>
      <c r="I7" s="30"/>
    </row>
    <row r="8">
      <c r="A8" s="25" t="s">
        <v>25</v>
      </c>
      <c r="B8" s="31" t="s">
        <v>28</v>
      </c>
      <c r="C8" s="27" t="s">
        <v>29</v>
      </c>
      <c r="D8" s="27" t="s">
        <v>63</v>
      </c>
      <c r="E8" s="28">
        <v>2.0</v>
      </c>
      <c r="F8" s="29">
        <v>450.0</v>
      </c>
      <c r="G8" s="29">
        <f t="shared" ref="G8:G25" si="2">E8*F8</f>
        <v>900</v>
      </c>
      <c r="H8" s="30"/>
      <c r="I8" s="30"/>
    </row>
    <row r="9">
      <c r="A9" s="25" t="s">
        <v>25</v>
      </c>
      <c r="B9" s="31" t="s">
        <v>28</v>
      </c>
      <c r="C9" s="27" t="s">
        <v>29</v>
      </c>
      <c r="D9" s="27" t="s">
        <v>64</v>
      </c>
      <c r="E9" s="28">
        <v>1.0</v>
      </c>
      <c r="F9" s="29">
        <v>450.0</v>
      </c>
      <c r="G9" s="29">
        <f t="shared" si="2"/>
        <v>450</v>
      </c>
      <c r="H9" s="30"/>
      <c r="I9" s="30"/>
    </row>
    <row r="10">
      <c r="A10" s="25" t="s">
        <v>25</v>
      </c>
      <c r="B10" s="31" t="s">
        <v>28</v>
      </c>
      <c r="C10" s="27" t="s">
        <v>29</v>
      </c>
      <c r="D10" s="27" t="s">
        <v>65</v>
      </c>
      <c r="E10" s="28">
        <v>2.0</v>
      </c>
      <c r="F10" s="29">
        <v>450.0</v>
      </c>
      <c r="G10" s="29">
        <f t="shared" si="2"/>
        <v>900</v>
      </c>
      <c r="H10" s="30"/>
      <c r="I10" s="30"/>
    </row>
    <row r="11">
      <c r="A11" s="25" t="s">
        <v>25</v>
      </c>
      <c r="B11" s="31" t="s">
        <v>28</v>
      </c>
      <c r="C11" s="27" t="s">
        <v>29</v>
      </c>
      <c r="D11" s="32" t="s">
        <v>18</v>
      </c>
      <c r="E11" s="33">
        <v>1.0</v>
      </c>
      <c r="F11" s="29">
        <v>450.0</v>
      </c>
      <c r="G11" s="29">
        <f t="shared" si="2"/>
        <v>450</v>
      </c>
      <c r="H11" s="30"/>
      <c r="I11" s="30"/>
    </row>
    <row r="12">
      <c r="A12" s="25" t="s">
        <v>30</v>
      </c>
      <c r="B12" s="31" t="s">
        <v>33</v>
      </c>
      <c r="C12" s="27" t="s">
        <v>32</v>
      </c>
      <c r="D12" s="27" t="s">
        <v>63</v>
      </c>
      <c r="E12" s="28">
        <v>2.0</v>
      </c>
      <c r="F12" s="29">
        <v>665.0</v>
      </c>
      <c r="G12" s="29">
        <f t="shared" si="2"/>
        <v>1330</v>
      </c>
      <c r="H12" s="30"/>
      <c r="I12" s="30"/>
    </row>
    <row r="13">
      <c r="A13" s="25" t="s">
        <v>30</v>
      </c>
      <c r="B13" s="31" t="s">
        <v>33</v>
      </c>
      <c r="C13" s="27" t="s">
        <v>32</v>
      </c>
      <c r="D13" s="27" t="s">
        <v>64</v>
      </c>
      <c r="E13" s="28">
        <v>1.0</v>
      </c>
      <c r="F13" s="29">
        <v>665.0</v>
      </c>
      <c r="G13" s="29">
        <f t="shared" si="2"/>
        <v>665</v>
      </c>
      <c r="H13" s="30"/>
      <c r="I13" s="30"/>
    </row>
    <row r="14">
      <c r="A14" s="25" t="s">
        <v>30</v>
      </c>
      <c r="B14" s="31" t="s">
        <v>33</v>
      </c>
      <c r="C14" s="27" t="s">
        <v>32</v>
      </c>
      <c r="D14" s="27" t="s">
        <v>65</v>
      </c>
      <c r="E14" s="28">
        <v>2.0</v>
      </c>
      <c r="F14" s="29">
        <v>665.0</v>
      </c>
      <c r="G14" s="29">
        <f t="shared" si="2"/>
        <v>1330</v>
      </c>
      <c r="H14" s="30"/>
      <c r="I14" s="30"/>
    </row>
    <row r="15">
      <c r="A15" s="25" t="s">
        <v>30</v>
      </c>
      <c r="B15" s="31" t="s">
        <v>33</v>
      </c>
      <c r="C15" s="27" t="s">
        <v>32</v>
      </c>
      <c r="D15" s="32" t="s">
        <v>18</v>
      </c>
      <c r="E15" s="33">
        <v>1.0</v>
      </c>
      <c r="F15" s="29">
        <v>665.0</v>
      </c>
      <c r="G15" s="29">
        <f t="shared" si="2"/>
        <v>665</v>
      </c>
      <c r="H15" s="30"/>
      <c r="I15" s="30"/>
    </row>
    <row r="16">
      <c r="A16" s="25" t="s">
        <v>34</v>
      </c>
      <c r="B16" s="31" t="s">
        <v>35</v>
      </c>
      <c r="C16" s="27" t="s">
        <v>36</v>
      </c>
      <c r="D16" s="27" t="s">
        <v>63</v>
      </c>
      <c r="E16" s="28">
        <v>2.0</v>
      </c>
      <c r="F16" s="29">
        <v>99.0</v>
      </c>
      <c r="G16" s="29">
        <f t="shared" si="2"/>
        <v>198</v>
      </c>
      <c r="H16" s="30"/>
      <c r="I16" s="30"/>
    </row>
    <row r="17">
      <c r="A17" s="25" t="s">
        <v>34</v>
      </c>
      <c r="B17" s="31" t="s">
        <v>35</v>
      </c>
      <c r="C17" s="27" t="s">
        <v>36</v>
      </c>
      <c r="D17" s="27" t="s">
        <v>64</v>
      </c>
      <c r="E17" s="28">
        <v>1.0</v>
      </c>
      <c r="F17" s="29">
        <v>99.0</v>
      </c>
      <c r="G17" s="29">
        <f t="shared" si="2"/>
        <v>99</v>
      </c>
      <c r="H17" s="30"/>
      <c r="I17" s="30"/>
    </row>
    <row r="18" ht="18.75" customHeight="1">
      <c r="A18" s="25" t="s">
        <v>34</v>
      </c>
      <c r="B18" s="31" t="s">
        <v>35</v>
      </c>
      <c r="C18" s="27" t="s">
        <v>36</v>
      </c>
      <c r="D18" s="27" t="s">
        <v>65</v>
      </c>
      <c r="E18" s="28">
        <v>2.0</v>
      </c>
      <c r="F18" s="29">
        <v>99.0</v>
      </c>
      <c r="G18" s="29">
        <f t="shared" si="2"/>
        <v>198</v>
      </c>
      <c r="H18" s="30"/>
      <c r="I18" s="30"/>
      <c r="J18" s="34"/>
    </row>
    <row r="19" ht="18.75" customHeight="1">
      <c r="A19" s="25" t="s">
        <v>34</v>
      </c>
      <c r="B19" s="31" t="s">
        <v>35</v>
      </c>
      <c r="C19" s="27" t="s">
        <v>36</v>
      </c>
      <c r="D19" s="32" t="s">
        <v>18</v>
      </c>
      <c r="E19" s="33">
        <v>1.0</v>
      </c>
      <c r="F19" s="29">
        <v>99.0</v>
      </c>
      <c r="G19" s="29">
        <f t="shared" si="2"/>
        <v>99</v>
      </c>
      <c r="H19" s="30"/>
      <c r="I19" s="30"/>
      <c r="J19" s="34"/>
    </row>
    <row r="20" ht="18.75" customHeight="1">
      <c r="A20" s="25" t="s">
        <v>40</v>
      </c>
      <c r="B20" s="27" t="s">
        <v>41</v>
      </c>
      <c r="C20" s="9" t="s">
        <v>42</v>
      </c>
      <c r="D20" s="9" t="s">
        <v>24</v>
      </c>
      <c r="E20" s="28">
        <v>1.0</v>
      </c>
      <c r="F20" s="10">
        <v>1500.0</v>
      </c>
      <c r="G20" s="29">
        <f t="shared" si="2"/>
        <v>1500</v>
      </c>
      <c r="H20" s="30"/>
      <c r="I20" s="30"/>
      <c r="J20" s="34"/>
    </row>
    <row r="21" ht="18.75" customHeight="1">
      <c r="A21" s="25" t="s">
        <v>43</v>
      </c>
      <c r="B21" s="32" t="s">
        <v>44</v>
      </c>
      <c r="C21" s="9" t="s">
        <v>42</v>
      </c>
      <c r="D21" s="9" t="s">
        <v>24</v>
      </c>
      <c r="E21" s="35">
        <v>30.0</v>
      </c>
      <c r="F21" s="10">
        <v>70.0</v>
      </c>
      <c r="G21" s="29">
        <f t="shared" si="2"/>
        <v>2100</v>
      </c>
      <c r="H21" s="30"/>
      <c r="I21" s="30"/>
      <c r="J21" s="34"/>
    </row>
    <row r="22" ht="18.75" customHeight="1">
      <c r="A22" s="25" t="s">
        <v>45</v>
      </c>
      <c r="B22" s="27" t="s">
        <v>46</v>
      </c>
      <c r="C22" s="9" t="s">
        <v>42</v>
      </c>
      <c r="D22" s="9" t="s">
        <v>24</v>
      </c>
      <c r="E22" s="36">
        <v>100.0</v>
      </c>
      <c r="F22" s="10">
        <v>70.0</v>
      </c>
      <c r="G22" s="29">
        <f t="shared" si="2"/>
        <v>7000</v>
      </c>
      <c r="H22" s="30"/>
      <c r="I22" s="30"/>
      <c r="J22" s="34"/>
    </row>
    <row r="23">
      <c r="A23" s="25" t="s">
        <v>47</v>
      </c>
      <c r="B23" s="27" t="s">
        <v>48</v>
      </c>
      <c r="C23" s="9" t="s">
        <v>42</v>
      </c>
      <c r="D23" s="9" t="s">
        <v>24</v>
      </c>
      <c r="E23" s="28">
        <v>30.0</v>
      </c>
      <c r="F23" s="10">
        <v>100.0</v>
      </c>
      <c r="G23" s="29">
        <f t="shared" si="2"/>
        <v>3000</v>
      </c>
      <c r="H23" s="30"/>
      <c r="I23" s="30"/>
    </row>
    <row r="24" ht="15.75" customHeight="1">
      <c r="A24" s="25" t="s">
        <v>49</v>
      </c>
      <c r="B24" s="27" t="s">
        <v>50</v>
      </c>
      <c r="C24" s="9" t="s">
        <v>42</v>
      </c>
      <c r="D24" s="9" t="s">
        <v>24</v>
      </c>
      <c r="E24" s="33">
        <v>1.0</v>
      </c>
      <c r="F24" s="10">
        <v>3000.0</v>
      </c>
      <c r="G24" s="29">
        <f t="shared" si="2"/>
        <v>3000</v>
      </c>
      <c r="H24" s="30"/>
      <c r="I24" s="30"/>
    </row>
    <row r="25" ht="15.75" customHeight="1">
      <c r="A25" s="25" t="s">
        <v>51</v>
      </c>
      <c r="B25" s="27" t="s">
        <v>52</v>
      </c>
      <c r="C25" s="27" t="s">
        <v>23</v>
      </c>
      <c r="D25" s="27" t="s">
        <v>24</v>
      </c>
      <c r="E25" s="28">
        <v>1.0</v>
      </c>
      <c r="F25" s="29">
        <v>7352.09</v>
      </c>
      <c r="G25" s="29">
        <f t="shared" si="2"/>
        <v>7352.09</v>
      </c>
      <c r="H25" s="30"/>
      <c r="I25" s="30"/>
    </row>
    <row r="26" ht="15.75" customHeight="1">
      <c r="A26" s="30"/>
      <c r="B26" s="37"/>
      <c r="C26" s="37"/>
      <c r="D26" s="37"/>
      <c r="E26" s="37"/>
      <c r="F26" s="38"/>
      <c r="G26" s="38"/>
      <c r="H26" s="30"/>
      <c r="I26" s="30"/>
    </row>
    <row r="27" ht="15.75" customHeight="1">
      <c r="A27" s="7"/>
      <c r="B27" s="9"/>
      <c r="C27" s="9"/>
      <c r="D27" s="9"/>
      <c r="E27" s="9"/>
      <c r="F27" s="10"/>
      <c r="G27" s="11"/>
      <c r="H27" s="12"/>
      <c r="I27" s="12"/>
    </row>
    <row r="28" ht="15.75" customHeight="1">
      <c r="A28" s="7"/>
      <c r="B28" s="9"/>
      <c r="C28" s="9"/>
      <c r="D28" s="9"/>
      <c r="E28" s="9"/>
      <c r="F28" s="10"/>
      <c r="G28" s="11"/>
      <c r="H28" s="12"/>
      <c r="I28" s="12"/>
    </row>
    <row r="29" ht="15.75" customHeight="1">
      <c r="A29" s="7"/>
      <c r="B29" s="9"/>
      <c r="C29" s="9"/>
      <c r="D29" s="9"/>
      <c r="E29" s="8"/>
      <c r="F29" s="10"/>
      <c r="G29" s="11"/>
      <c r="H29" s="12"/>
      <c r="I29" s="12"/>
    </row>
    <row r="30" ht="15.75" customHeight="1">
      <c r="A30" s="7"/>
      <c r="B30" s="9"/>
      <c r="C30" s="9"/>
      <c r="D30" s="9"/>
      <c r="E30" s="8"/>
      <c r="F30" s="10"/>
      <c r="G30" s="11"/>
      <c r="H30" s="12"/>
      <c r="I30" s="12"/>
    </row>
    <row r="31" ht="15.75" customHeight="1">
      <c r="A31" s="7"/>
      <c r="B31" s="9"/>
      <c r="C31" s="9"/>
      <c r="D31" s="9"/>
      <c r="E31" s="9"/>
      <c r="F31" s="10"/>
      <c r="G31" s="11"/>
      <c r="H31" s="12"/>
      <c r="I31" s="12"/>
    </row>
    <row r="32" ht="15.75" customHeight="1">
      <c r="A32" s="7"/>
      <c r="B32" s="9"/>
      <c r="C32" s="9"/>
      <c r="D32" s="9"/>
      <c r="E32" s="9"/>
      <c r="F32" s="10"/>
      <c r="G32" s="11"/>
      <c r="H32" s="12"/>
      <c r="I32" s="12"/>
    </row>
    <row r="33" ht="15.75" customHeight="1">
      <c r="A33" s="7"/>
      <c r="B33" s="9"/>
      <c r="C33" s="9"/>
      <c r="D33" s="9"/>
      <c r="E33" s="9"/>
      <c r="F33" s="10"/>
      <c r="G33" s="11"/>
      <c r="H33" s="12"/>
      <c r="I33" s="12"/>
    </row>
    <row r="34" ht="15.75" customHeight="1">
      <c r="A34" s="7"/>
      <c r="B34" s="7"/>
      <c r="C34" s="7"/>
      <c r="D34" s="7"/>
      <c r="E34" s="7"/>
      <c r="F34" s="11"/>
      <c r="G34" s="11"/>
      <c r="H34" s="12"/>
      <c r="I34" s="1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A1:I1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37.86"/>
    <col customWidth="1" min="3" max="3" width="16.57"/>
    <col customWidth="1" min="4" max="4" width="14.29"/>
    <col customWidth="1" min="5" max="5" width="32.86"/>
    <col customWidth="1" min="6" max="6" width="16.86"/>
    <col customWidth="1" min="7" max="26" width="8.71"/>
  </cols>
  <sheetData>
    <row r="1">
      <c r="A1" s="39" t="s">
        <v>67</v>
      </c>
      <c r="B1" s="2"/>
      <c r="C1" s="2"/>
      <c r="D1" s="2"/>
      <c r="E1" s="2"/>
      <c r="F1" s="3"/>
    </row>
    <row r="2">
      <c r="A2" s="4" t="s">
        <v>68</v>
      </c>
      <c r="B2" s="4" t="s">
        <v>69</v>
      </c>
      <c r="C2" s="4" t="s">
        <v>70</v>
      </c>
      <c r="D2" s="4" t="s">
        <v>71</v>
      </c>
      <c r="E2" s="4" t="s">
        <v>72</v>
      </c>
      <c r="F2" s="4" t="s">
        <v>73</v>
      </c>
    </row>
    <row r="3">
      <c r="A3" s="40" t="s">
        <v>74</v>
      </c>
      <c r="B3" s="41" t="s">
        <v>75</v>
      </c>
      <c r="C3" s="42" t="s">
        <v>76</v>
      </c>
      <c r="D3" s="41" t="s">
        <v>77</v>
      </c>
      <c r="E3" s="9" t="s">
        <v>78</v>
      </c>
      <c r="F3" s="9" t="s">
        <v>79</v>
      </c>
    </row>
    <row r="4">
      <c r="A4" s="40" t="s">
        <v>80</v>
      </c>
      <c r="B4" s="41" t="s">
        <v>81</v>
      </c>
      <c r="C4" s="42" t="s">
        <v>76</v>
      </c>
      <c r="D4" s="41" t="s">
        <v>77</v>
      </c>
      <c r="E4" s="9" t="s">
        <v>78</v>
      </c>
      <c r="F4" s="9" t="s">
        <v>79</v>
      </c>
    </row>
    <row r="5">
      <c r="A5" s="40" t="s">
        <v>82</v>
      </c>
      <c r="B5" s="41" t="s">
        <v>83</v>
      </c>
      <c r="C5" s="42" t="s">
        <v>76</v>
      </c>
      <c r="D5" s="41" t="s">
        <v>77</v>
      </c>
      <c r="E5" s="9" t="s">
        <v>78</v>
      </c>
      <c r="F5" s="9" t="s">
        <v>79</v>
      </c>
    </row>
    <row r="6">
      <c r="A6" s="40" t="s">
        <v>84</v>
      </c>
      <c r="B6" s="41" t="s">
        <v>85</v>
      </c>
      <c r="C6" s="42" t="s">
        <v>76</v>
      </c>
      <c r="D6" s="41" t="s">
        <v>77</v>
      </c>
      <c r="E6" s="9" t="s">
        <v>78</v>
      </c>
      <c r="F6" s="9" t="s">
        <v>79</v>
      </c>
    </row>
    <row r="7">
      <c r="A7" s="40" t="s">
        <v>86</v>
      </c>
      <c r="B7" s="41" t="s">
        <v>87</v>
      </c>
      <c r="C7" s="42" t="s">
        <v>76</v>
      </c>
      <c r="D7" s="41" t="s">
        <v>77</v>
      </c>
      <c r="E7" s="9" t="s">
        <v>78</v>
      </c>
      <c r="F7" s="9" t="s">
        <v>79</v>
      </c>
    </row>
    <row r="8">
      <c r="A8" s="40" t="s">
        <v>88</v>
      </c>
      <c r="B8" s="41" t="s">
        <v>89</v>
      </c>
      <c r="C8" s="42" t="s">
        <v>76</v>
      </c>
      <c r="D8" s="41" t="s">
        <v>77</v>
      </c>
      <c r="E8" s="9" t="s">
        <v>78</v>
      </c>
      <c r="F8" s="9" t="s">
        <v>79</v>
      </c>
    </row>
    <row r="9">
      <c r="A9" s="40" t="s">
        <v>90</v>
      </c>
      <c r="B9" s="41" t="s">
        <v>91</v>
      </c>
      <c r="C9" s="42" t="s">
        <v>76</v>
      </c>
      <c r="D9" s="41" t="s">
        <v>77</v>
      </c>
      <c r="E9" s="9" t="s">
        <v>78</v>
      </c>
      <c r="F9" s="9" t="s">
        <v>79</v>
      </c>
    </row>
    <row r="10">
      <c r="A10" s="40" t="s">
        <v>92</v>
      </c>
      <c r="B10" s="41" t="s">
        <v>93</v>
      </c>
      <c r="C10" s="42" t="s">
        <v>76</v>
      </c>
      <c r="D10" s="41" t="s">
        <v>77</v>
      </c>
      <c r="E10" s="9" t="s">
        <v>78</v>
      </c>
      <c r="F10" s="9" t="s">
        <v>79</v>
      </c>
    </row>
    <row r="11">
      <c r="A11" s="40" t="s">
        <v>94</v>
      </c>
      <c r="B11" s="41" t="s">
        <v>95</v>
      </c>
      <c r="C11" s="42" t="s">
        <v>76</v>
      </c>
      <c r="D11" s="41" t="s">
        <v>77</v>
      </c>
      <c r="E11" s="9" t="s">
        <v>78</v>
      </c>
      <c r="F11" s="9" t="s">
        <v>79</v>
      </c>
    </row>
    <row r="12">
      <c r="A12" s="40" t="s">
        <v>96</v>
      </c>
      <c r="B12" s="41" t="s">
        <v>97</v>
      </c>
      <c r="C12" s="42" t="s">
        <v>76</v>
      </c>
      <c r="D12" s="41" t="s">
        <v>77</v>
      </c>
      <c r="E12" s="9" t="s">
        <v>78</v>
      </c>
      <c r="F12" s="9" t="s">
        <v>79</v>
      </c>
    </row>
    <row r="13">
      <c r="A13" s="40" t="s">
        <v>98</v>
      </c>
      <c r="B13" s="41" t="s">
        <v>99</v>
      </c>
      <c r="C13" s="42" t="s">
        <v>76</v>
      </c>
      <c r="D13" s="41" t="s">
        <v>77</v>
      </c>
      <c r="E13" s="9" t="s">
        <v>78</v>
      </c>
      <c r="F13" s="9" t="s">
        <v>79</v>
      </c>
    </row>
    <row r="14">
      <c r="A14" s="40" t="s">
        <v>100</v>
      </c>
      <c r="B14" s="41" t="s">
        <v>101</v>
      </c>
      <c r="C14" s="42" t="s">
        <v>76</v>
      </c>
      <c r="D14" s="41" t="s">
        <v>77</v>
      </c>
      <c r="E14" s="9" t="s">
        <v>78</v>
      </c>
      <c r="F14" s="9" t="s">
        <v>79</v>
      </c>
    </row>
    <row r="15">
      <c r="A15" s="40" t="s">
        <v>102</v>
      </c>
      <c r="B15" s="41" t="s">
        <v>103</v>
      </c>
      <c r="C15" s="42" t="s">
        <v>76</v>
      </c>
      <c r="D15" s="41" t="s">
        <v>77</v>
      </c>
      <c r="E15" s="9" t="s">
        <v>78</v>
      </c>
      <c r="F15" s="9" t="s">
        <v>79</v>
      </c>
    </row>
    <row r="16">
      <c r="A16" s="40" t="s">
        <v>104</v>
      </c>
      <c r="B16" s="41" t="s">
        <v>105</v>
      </c>
      <c r="C16" s="42" t="s">
        <v>76</v>
      </c>
      <c r="D16" s="41" t="s">
        <v>77</v>
      </c>
      <c r="E16" s="9" t="s">
        <v>78</v>
      </c>
      <c r="F16" s="9" t="s">
        <v>79</v>
      </c>
    </row>
    <row r="17">
      <c r="A17" s="40" t="s">
        <v>106</v>
      </c>
      <c r="B17" s="41" t="s">
        <v>107</v>
      </c>
      <c r="C17" s="42" t="s">
        <v>76</v>
      </c>
      <c r="D17" s="41" t="s">
        <v>77</v>
      </c>
      <c r="E17" s="9" t="s">
        <v>78</v>
      </c>
      <c r="F17" s="9" t="s">
        <v>79</v>
      </c>
    </row>
    <row r="18">
      <c r="A18" s="40" t="s">
        <v>108</v>
      </c>
      <c r="B18" s="41" t="s">
        <v>109</v>
      </c>
      <c r="C18" s="42" t="s">
        <v>76</v>
      </c>
      <c r="D18" s="41" t="s">
        <v>77</v>
      </c>
      <c r="E18" s="9" t="s">
        <v>78</v>
      </c>
      <c r="F18" s="9" t="s">
        <v>79</v>
      </c>
    </row>
    <row r="19">
      <c r="A19" s="40" t="s">
        <v>110</v>
      </c>
      <c r="B19" s="41" t="s">
        <v>111</v>
      </c>
      <c r="C19" s="42" t="s">
        <v>76</v>
      </c>
      <c r="D19" s="41" t="s">
        <v>112</v>
      </c>
      <c r="E19" s="9" t="s">
        <v>113</v>
      </c>
      <c r="F19" s="9" t="s">
        <v>79</v>
      </c>
    </row>
    <row r="20">
      <c r="A20" s="40" t="s">
        <v>114</v>
      </c>
      <c r="B20" s="41" t="s">
        <v>115</v>
      </c>
      <c r="C20" s="42" t="s">
        <v>76</v>
      </c>
      <c r="D20" s="41" t="s">
        <v>112</v>
      </c>
      <c r="E20" s="9" t="s">
        <v>113</v>
      </c>
      <c r="F20" s="9" t="s">
        <v>79</v>
      </c>
    </row>
    <row r="21">
      <c r="A21" s="40" t="s">
        <v>116</v>
      </c>
      <c r="B21" s="41" t="s">
        <v>117</v>
      </c>
      <c r="C21" s="42" t="s">
        <v>76</v>
      </c>
      <c r="D21" s="41" t="s">
        <v>112</v>
      </c>
      <c r="E21" s="9" t="s">
        <v>113</v>
      </c>
      <c r="F21" s="9" t="s">
        <v>79</v>
      </c>
    </row>
    <row r="22">
      <c r="A22" s="40" t="s">
        <v>118</v>
      </c>
      <c r="B22" s="41" t="s">
        <v>119</v>
      </c>
      <c r="C22" s="42" t="s">
        <v>76</v>
      </c>
      <c r="D22" s="41" t="s">
        <v>112</v>
      </c>
      <c r="E22" s="9" t="s">
        <v>113</v>
      </c>
      <c r="F22" s="9" t="s">
        <v>79</v>
      </c>
    </row>
    <row r="23">
      <c r="A23" s="40" t="s">
        <v>120</v>
      </c>
      <c r="B23" s="41" t="s">
        <v>121</v>
      </c>
      <c r="C23" s="42" t="s">
        <v>76</v>
      </c>
      <c r="D23" s="41" t="s">
        <v>112</v>
      </c>
      <c r="E23" s="9" t="s">
        <v>113</v>
      </c>
      <c r="F23" s="9" t="s">
        <v>79</v>
      </c>
    </row>
    <row r="24" ht="15.75" customHeight="1">
      <c r="A24" s="40" t="s">
        <v>122</v>
      </c>
      <c r="B24" s="41" t="s">
        <v>123</v>
      </c>
      <c r="C24" s="42" t="s">
        <v>76</v>
      </c>
      <c r="D24" s="41" t="s">
        <v>112</v>
      </c>
      <c r="E24" s="9" t="s">
        <v>113</v>
      </c>
      <c r="F24" s="9" t="s">
        <v>79</v>
      </c>
    </row>
    <row r="25" ht="15.75" customHeight="1">
      <c r="A25" s="40" t="s">
        <v>124</v>
      </c>
      <c r="B25" s="41" t="s">
        <v>125</v>
      </c>
      <c r="C25" s="42" t="s">
        <v>76</v>
      </c>
      <c r="D25" s="41" t="s">
        <v>112</v>
      </c>
      <c r="E25" s="9" t="s">
        <v>113</v>
      </c>
      <c r="F25" s="9" t="s">
        <v>79</v>
      </c>
    </row>
    <row r="26" ht="15.75" customHeight="1">
      <c r="A26" s="40" t="s">
        <v>126</v>
      </c>
      <c r="B26" s="41" t="s">
        <v>127</v>
      </c>
      <c r="C26" s="42" t="s">
        <v>76</v>
      </c>
      <c r="D26" s="41" t="s">
        <v>112</v>
      </c>
      <c r="E26" s="9" t="s">
        <v>113</v>
      </c>
      <c r="F26" s="9" t="s">
        <v>79</v>
      </c>
    </row>
    <row r="27" ht="15.75" customHeight="1">
      <c r="A27" s="40" t="s">
        <v>128</v>
      </c>
      <c r="B27" s="41" t="s">
        <v>129</v>
      </c>
      <c r="C27" s="42" t="s">
        <v>76</v>
      </c>
      <c r="D27" s="41" t="s">
        <v>112</v>
      </c>
      <c r="E27" s="9" t="s">
        <v>113</v>
      </c>
      <c r="F27" s="9" t="s">
        <v>79</v>
      </c>
    </row>
    <row r="28" ht="15.75" customHeight="1">
      <c r="A28" s="40" t="s">
        <v>130</v>
      </c>
      <c r="B28" s="41" t="s">
        <v>131</v>
      </c>
      <c r="C28" s="42" t="s">
        <v>76</v>
      </c>
      <c r="D28" s="41" t="s">
        <v>112</v>
      </c>
      <c r="E28" s="9" t="s">
        <v>113</v>
      </c>
      <c r="F28" s="9" t="s">
        <v>79</v>
      </c>
    </row>
    <row r="29" ht="15.75" customHeight="1">
      <c r="A29" s="40" t="s">
        <v>132</v>
      </c>
      <c r="B29" s="41" t="s">
        <v>133</v>
      </c>
      <c r="C29" s="42" t="s">
        <v>76</v>
      </c>
      <c r="D29" s="41" t="s">
        <v>112</v>
      </c>
      <c r="E29" s="9" t="s">
        <v>113</v>
      </c>
      <c r="F29" s="9" t="s">
        <v>79</v>
      </c>
    </row>
    <row r="30" ht="15.75" customHeight="1">
      <c r="A30" s="40" t="s">
        <v>134</v>
      </c>
      <c r="B30" s="41" t="s">
        <v>135</v>
      </c>
      <c r="C30" s="42" t="s">
        <v>76</v>
      </c>
      <c r="D30" s="41" t="s">
        <v>112</v>
      </c>
      <c r="E30" s="9" t="s">
        <v>113</v>
      </c>
      <c r="F30" s="9" t="s">
        <v>79</v>
      </c>
    </row>
    <row r="31" ht="15.75" customHeight="1">
      <c r="A31" s="40" t="s">
        <v>136</v>
      </c>
      <c r="B31" s="41" t="s">
        <v>137</v>
      </c>
      <c r="C31" s="42" t="s">
        <v>76</v>
      </c>
      <c r="D31" s="41" t="s">
        <v>112</v>
      </c>
      <c r="E31" s="9" t="s">
        <v>113</v>
      </c>
      <c r="F31" s="9" t="s">
        <v>79</v>
      </c>
    </row>
    <row r="32" ht="15.75" customHeight="1">
      <c r="A32" s="40" t="s">
        <v>110</v>
      </c>
      <c r="B32" s="41" t="s">
        <v>111</v>
      </c>
      <c r="C32" s="42" t="s">
        <v>76</v>
      </c>
      <c r="D32" s="41" t="s">
        <v>112</v>
      </c>
      <c r="E32" s="9" t="s">
        <v>113</v>
      </c>
      <c r="F32" s="9" t="s">
        <v>79</v>
      </c>
    </row>
    <row r="33" ht="15.75" customHeight="1">
      <c r="A33" s="40" t="s">
        <v>138</v>
      </c>
      <c r="B33" s="41" t="s">
        <v>139</v>
      </c>
      <c r="C33" s="42" t="s">
        <v>76</v>
      </c>
      <c r="D33" s="41" t="s">
        <v>112</v>
      </c>
      <c r="E33" s="9" t="s">
        <v>113</v>
      </c>
      <c r="F33" s="9" t="s">
        <v>79</v>
      </c>
    </row>
    <row r="34" ht="15.75" customHeight="1">
      <c r="A34" s="40" t="s">
        <v>140</v>
      </c>
      <c r="B34" s="41" t="s">
        <v>141</v>
      </c>
      <c r="C34" s="42" t="s">
        <v>76</v>
      </c>
      <c r="D34" s="41" t="s">
        <v>142</v>
      </c>
      <c r="E34" s="9" t="s">
        <v>143</v>
      </c>
      <c r="F34" s="9" t="s">
        <v>79</v>
      </c>
    </row>
    <row r="35" ht="15.75" customHeight="1">
      <c r="A35" s="40" t="s">
        <v>144</v>
      </c>
      <c r="B35" s="41" t="s">
        <v>145</v>
      </c>
      <c r="C35" s="42" t="s">
        <v>76</v>
      </c>
      <c r="D35" s="41" t="s">
        <v>142</v>
      </c>
      <c r="E35" s="9" t="s">
        <v>143</v>
      </c>
      <c r="F35" s="9" t="s">
        <v>79</v>
      </c>
    </row>
    <row r="36" ht="15.75" customHeight="1">
      <c r="A36" s="40" t="s">
        <v>146</v>
      </c>
      <c r="B36" s="41" t="s">
        <v>147</v>
      </c>
      <c r="C36" s="42" t="s">
        <v>76</v>
      </c>
      <c r="D36" s="41" t="s">
        <v>142</v>
      </c>
      <c r="E36" s="9" t="s">
        <v>143</v>
      </c>
      <c r="F36" s="9" t="s">
        <v>79</v>
      </c>
    </row>
    <row r="37" ht="15.75" customHeight="1">
      <c r="A37" s="40" t="s">
        <v>148</v>
      </c>
      <c r="B37" s="41" t="s">
        <v>149</v>
      </c>
      <c r="C37" s="42" t="s">
        <v>76</v>
      </c>
      <c r="D37" s="41" t="s">
        <v>142</v>
      </c>
      <c r="E37" s="9" t="s">
        <v>143</v>
      </c>
      <c r="F37" s="9" t="s">
        <v>79</v>
      </c>
    </row>
    <row r="38" ht="15.75" customHeight="1">
      <c r="A38" s="40" t="s">
        <v>150</v>
      </c>
      <c r="B38" s="41" t="s">
        <v>151</v>
      </c>
      <c r="C38" s="42" t="s">
        <v>76</v>
      </c>
      <c r="D38" s="41" t="s">
        <v>142</v>
      </c>
      <c r="E38" s="9" t="s">
        <v>143</v>
      </c>
      <c r="F38" s="9" t="s">
        <v>79</v>
      </c>
    </row>
    <row r="39" ht="15.75" customHeight="1">
      <c r="A39" s="40" t="s">
        <v>152</v>
      </c>
      <c r="B39" s="41" t="s">
        <v>153</v>
      </c>
      <c r="C39" s="42" t="s">
        <v>76</v>
      </c>
      <c r="D39" s="41" t="s">
        <v>142</v>
      </c>
      <c r="E39" s="9" t="s">
        <v>143</v>
      </c>
      <c r="F39" s="9" t="s">
        <v>79</v>
      </c>
    </row>
    <row r="40" ht="15.75" customHeight="1">
      <c r="A40" s="40" t="s">
        <v>154</v>
      </c>
      <c r="B40" s="41" t="s">
        <v>155</v>
      </c>
      <c r="C40" s="42" t="s">
        <v>76</v>
      </c>
      <c r="D40" s="41" t="s">
        <v>156</v>
      </c>
      <c r="E40" s="9" t="s">
        <v>157</v>
      </c>
      <c r="F40" s="9" t="s">
        <v>79</v>
      </c>
    </row>
    <row r="41" ht="15.75" customHeight="1">
      <c r="A41" s="40" t="s">
        <v>158</v>
      </c>
      <c r="B41" s="41" t="s">
        <v>159</v>
      </c>
      <c r="C41" s="42" t="s">
        <v>76</v>
      </c>
      <c r="D41" s="41" t="s">
        <v>156</v>
      </c>
      <c r="E41" s="9" t="s">
        <v>157</v>
      </c>
      <c r="F41" s="9" t="s">
        <v>79</v>
      </c>
    </row>
    <row r="42" ht="15.75" customHeight="1">
      <c r="A42" s="40" t="s">
        <v>160</v>
      </c>
      <c r="B42" s="41" t="s">
        <v>161</v>
      </c>
      <c r="C42" s="42" t="s">
        <v>76</v>
      </c>
      <c r="D42" s="41" t="s">
        <v>156</v>
      </c>
      <c r="E42" s="9" t="s">
        <v>157</v>
      </c>
      <c r="F42" s="9" t="s">
        <v>79</v>
      </c>
    </row>
    <row r="43" ht="15.75" customHeight="1">
      <c r="A43" s="40" t="s">
        <v>162</v>
      </c>
      <c r="B43" s="41" t="s">
        <v>163</v>
      </c>
      <c r="C43" s="42" t="s">
        <v>76</v>
      </c>
      <c r="D43" s="41" t="s">
        <v>156</v>
      </c>
      <c r="E43" s="9" t="s">
        <v>157</v>
      </c>
      <c r="F43" s="9" t="s">
        <v>79</v>
      </c>
    </row>
    <row r="44" ht="15.75" customHeight="1">
      <c r="A44" s="40" t="s">
        <v>164</v>
      </c>
      <c r="B44" s="41" t="s">
        <v>165</v>
      </c>
      <c r="C44" s="42" t="s">
        <v>76</v>
      </c>
      <c r="D44" s="41" t="s">
        <v>156</v>
      </c>
      <c r="E44" s="9" t="s">
        <v>157</v>
      </c>
      <c r="F44" s="9" t="s">
        <v>79</v>
      </c>
    </row>
    <row r="45" ht="15.75" customHeight="1">
      <c r="A45" s="40" t="s">
        <v>166</v>
      </c>
      <c r="B45" s="41" t="s">
        <v>167</v>
      </c>
      <c r="C45" s="42" t="s">
        <v>76</v>
      </c>
      <c r="D45" s="41" t="s">
        <v>156</v>
      </c>
      <c r="E45" s="9" t="s">
        <v>157</v>
      </c>
      <c r="F45" s="9" t="s">
        <v>79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A1:F1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8.71"/>
    <col customWidth="1" min="3" max="3" width="13.57"/>
    <col customWidth="1" min="4" max="4" width="11.71"/>
    <col customWidth="1" min="5" max="5" width="13.57"/>
    <col customWidth="1" min="6" max="6" width="11.71"/>
    <col customWidth="1" min="7" max="7" width="13.57"/>
    <col customWidth="1" min="8" max="8" width="11.71"/>
    <col customWidth="1" min="9" max="9" width="13.43"/>
    <col customWidth="1" min="10" max="10" width="20.29"/>
    <col customWidth="1" min="11" max="14" width="8.71"/>
    <col customWidth="1" min="15" max="15" width="12.14"/>
    <col customWidth="1" min="16" max="16" width="17.0"/>
    <col customWidth="1" min="17" max="17" width="21.86"/>
    <col customWidth="1" min="18" max="26" width="8.71"/>
  </cols>
  <sheetData>
    <row r="1">
      <c r="A1" s="43" t="s">
        <v>168</v>
      </c>
      <c r="B1" s="44"/>
      <c r="C1" s="44"/>
      <c r="D1" s="44"/>
      <c r="E1" s="44"/>
      <c r="F1" s="44"/>
      <c r="G1" s="44"/>
      <c r="H1" s="44"/>
      <c r="I1" s="44"/>
      <c r="J1" s="45"/>
    </row>
    <row r="2">
      <c r="A2" s="46" t="s">
        <v>169</v>
      </c>
      <c r="B2" s="47"/>
      <c r="C2" s="46" t="s">
        <v>170</v>
      </c>
      <c r="D2" s="47"/>
      <c r="E2" s="46" t="s">
        <v>171</v>
      </c>
      <c r="F2" s="47"/>
      <c r="G2" s="46" t="s">
        <v>172</v>
      </c>
      <c r="H2" s="47"/>
      <c r="I2" s="48" t="s">
        <v>66</v>
      </c>
      <c r="J2" s="47"/>
      <c r="O2" s="49"/>
      <c r="P2" s="49"/>
      <c r="Q2" s="49"/>
    </row>
    <row r="3">
      <c r="A3" s="50" t="s">
        <v>173</v>
      </c>
      <c r="B3" s="51" t="s">
        <v>174</v>
      </c>
      <c r="C3" s="50" t="s">
        <v>5</v>
      </c>
      <c r="D3" s="52" t="s">
        <v>175</v>
      </c>
      <c r="E3" s="50" t="s">
        <v>5</v>
      </c>
      <c r="F3" s="52" t="s">
        <v>175</v>
      </c>
      <c r="G3" s="50" t="s">
        <v>5</v>
      </c>
      <c r="H3" s="52" t="s">
        <v>175</v>
      </c>
      <c r="I3" s="50" t="s">
        <v>5</v>
      </c>
      <c r="J3" s="52" t="s">
        <v>175</v>
      </c>
      <c r="O3" s="53"/>
      <c r="P3" s="53"/>
      <c r="Q3" s="54"/>
    </row>
    <row r="4">
      <c r="A4" s="55" t="s">
        <v>176</v>
      </c>
      <c r="B4" s="56">
        <v>1200.0</v>
      </c>
      <c r="C4" s="57">
        <v>6.0</v>
      </c>
      <c r="D4" s="58">
        <v>7200.0</v>
      </c>
      <c r="E4" s="57">
        <v>0.0</v>
      </c>
      <c r="F4" s="59">
        <v>0.0</v>
      </c>
      <c r="G4" s="57">
        <v>1.0</v>
      </c>
      <c r="H4" s="59">
        <v>1200.0</v>
      </c>
      <c r="I4" s="57">
        <v>1.0</v>
      </c>
      <c r="J4" s="59">
        <v>1200.0</v>
      </c>
      <c r="O4" s="53"/>
      <c r="P4" s="53"/>
      <c r="Q4" s="54"/>
    </row>
    <row r="5">
      <c r="A5" s="60" t="s">
        <v>177</v>
      </c>
      <c r="B5" s="61">
        <v>1800.0</v>
      </c>
      <c r="C5" s="62">
        <v>12.0</v>
      </c>
      <c r="D5" s="63">
        <v>21600.0</v>
      </c>
      <c r="E5" s="62">
        <v>13.0</v>
      </c>
      <c r="F5" s="64">
        <v>23400.0</v>
      </c>
      <c r="G5" s="62">
        <v>6.0</v>
      </c>
      <c r="H5" s="64">
        <v>10800.0</v>
      </c>
      <c r="I5" s="62">
        <v>3.0</v>
      </c>
      <c r="J5" s="64">
        <v>5400.0</v>
      </c>
      <c r="O5" s="53"/>
      <c r="P5" s="53"/>
      <c r="Q5" s="54"/>
    </row>
    <row r="6">
      <c r="A6" s="60" t="s">
        <v>178</v>
      </c>
      <c r="B6" s="61">
        <v>200.0</v>
      </c>
      <c r="C6" s="62">
        <v>3.0</v>
      </c>
      <c r="D6" s="64">
        <v>600.0</v>
      </c>
      <c r="E6" s="62">
        <v>1.0</v>
      </c>
      <c r="F6" s="64">
        <v>200.0</v>
      </c>
      <c r="G6" s="62">
        <v>1.0</v>
      </c>
      <c r="H6" s="64">
        <v>200.0</v>
      </c>
      <c r="I6" s="62">
        <v>1.0</v>
      </c>
      <c r="J6" s="64">
        <v>200.0</v>
      </c>
      <c r="O6" s="53"/>
      <c r="P6" s="53"/>
      <c r="Q6" s="54"/>
    </row>
    <row r="7">
      <c r="A7" s="60" t="s">
        <v>179</v>
      </c>
      <c r="B7" s="61">
        <v>800.0</v>
      </c>
      <c r="C7" s="62">
        <v>3.0</v>
      </c>
      <c r="D7" s="63">
        <v>2400.0</v>
      </c>
      <c r="E7" s="62">
        <v>1.0</v>
      </c>
      <c r="F7" s="64">
        <v>800.0</v>
      </c>
      <c r="G7" s="62">
        <v>1.0</v>
      </c>
      <c r="H7" s="64">
        <v>800.0</v>
      </c>
      <c r="I7" s="62">
        <v>1.0</v>
      </c>
      <c r="J7" s="64">
        <v>800.0</v>
      </c>
      <c r="O7" s="65"/>
      <c r="P7" s="65"/>
      <c r="Q7" s="66"/>
    </row>
    <row r="8">
      <c r="A8" s="55" t="s">
        <v>180</v>
      </c>
      <c r="B8" s="56">
        <v>1600.0</v>
      </c>
      <c r="C8" s="57">
        <v>15.0</v>
      </c>
      <c r="D8" s="58">
        <v>24000.0</v>
      </c>
      <c r="E8" s="57">
        <v>15.0</v>
      </c>
      <c r="F8" s="59">
        <v>24000.0</v>
      </c>
      <c r="G8" s="57">
        <v>6.0</v>
      </c>
      <c r="H8" s="59">
        <v>9600.0</v>
      </c>
      <c r="I8" s="57">
        <v>6.0</v>
      </c>
      <c r="J8" s="59">
        <v>9600.0</v>
      </c>
    </row>
    <row r="9">
      <c r="A9" s="55" t="s">
        <v>181</v>
      </c>
      <c r="B9" s="56">
        <v>400.0</v>
      </c>
      <c r="C9" s="57">
        <v>15.0</v>
      </c>
      <c r="D9" s="58">
        <v>6000.0</v>
      </c>
      <c r="E9" s="57">
        <v>15.0</v>
      </c>
      <c r="F9" s="59">
        <v>6000.0</v>
      </c>
      <c r="G9" s="57">
        <v>6.0</v>
      </c>
      <c r="H9" s="59">
        <v>2400.0</v>
      </c>
      <c r="I9" s="57">
        <v>6.0</v>
      </c>
      <c r="J9" s="59">
        <v>2400.0</v>
      </c>
    </row>
    <row r="10">
      <c r="A10" s="67"/>
      <c r="B10" s="68"/>
      <c r="C10" s="60"/>
      <c r="D10" s="69"/>
      <c r="E10" s="60"/>
      <c r="F10" s="69"/>
      <c r="G10" s="60"/>
      <c r="H10" s="69"/>
      <c r="I10" s="60"/>
      <c r="J10" s="69"/>
    </row>
    <row r="11">
      <c r="A11" s="70"/>
      <c r="B11" s="70"/>
      <c r="C11" s="60"/>
      <c r="D11" s="69"/>
      <c r="E11" s="60"/>
      <c r="F11" s="69"/>
      <c r="G11" s="60"/>
      <c r="H11" s="69"/>
      <c r="I11" s="60"/>
      <c r="J11" s="69"/>
    </row>
    <row r="12">
      <c r="A12" s="70"/>
      <c r="B12" s="70"/>
      <c r="C12" s="60" t="s">
        <v>182</v>
      </c>
      <c r="D12" s="69"/>
      <c r="E12" s="60" t="s">
        <v>182</v>
      </c>
      <c r="F12" s="64">
        <v>54400.0</v>
      </c>
      <c r="G12" s="60" t="s">
        <v>182</v>
      </c>
      <c r="H12" s="64">
        <v>25000.0</v>
      </c>
      <c r="I12" s="60" t="s">
        <v>182</v>
      </c>
      <c r="J12" s="64">
        <v>19600.0</v>
      </c>
    </row>
    <row r="13">
      <c r="A13" s="70"/>
      <c r="B13" s="70"/>
      <c r="C13" s="71"/>
      <c r="D13" s="72"/>
      <c r="E13" s="60"/>
      <c r="F13" s="69"/>
      <c r="G13" s="60"/>
      <c r="H13" s="69"/>
      <c r="I13" s="60"/>
      <c r="J13" s="69"/>
    </row>
    <row r="14">
      <c r="A14" s="70"/>
      <c r="B14" s="70"/>
      <c r="C14" s="60" t="s">
        <v>183</v>
      </c>
      <c r="D14" s="73">
        <f>D4+D8+D9</f>
        <v>37200</v>
      </c>
      <c r="E14" s="71" t="s">
        <v>183</v>
      </c>
      <c r="F14" s="69">
        <f>F4+F8+F9</f>
        <v>30000</v>
      </c>
      <c r="G14" s="74" t="s">
        <v>183</v>
      </c>
      <c r="H14" s="69">
        <f>H4+H8+H9</f>
        <v>13200</v>
      </c>
      <c r="I14" s="60" t="s">
        <v>183</v>
      </c>
      <c r="J14" s="69">
        <f>J4+J8+J9</f>
        <v>13200</v>
      </c>
    </row>
    <row r="15">
      <c r="A15" s="70"/>
      <c r="B15" s="70"/>
      <c r="C15" s="75" t="s">
        <v>184</v>
      </c>
      <c r="D15" s="76"/>
      <c r="E15" s="75" t="s">
        <v>185</v>
      </c>
      <c r="F15" s="76"/>
      <c r="G15" s="75" t="s">
        <v>186</v>
      </c>
      <c r="H15" s="76"/>
      <c r="I15" s="75" t="s">
        <v>187</v>
      </c>
      <c r="J15" s="76"/>
    </row>
    <row r="16">
      <c r="A16" s="77" t="s">
        <v>188</v>
      </c>
      <c r="B16" s="78">
        <v>1.0</v>
      </c>
      <c r="C16" s="79">
        <f>D14+F14+H14+J14</f>
        <v>93600</v>
      </c>
      <c r="D16" s="80"/>
      <c r="E16" s="81">
        <f>D12+F12</f>
        <v>54400</v>
      </c>
      <c r="F16" s="80"/>
      <c r="G16" s="81">
        <f>H12</f>
        <v>25000</v>
      </c>
      <c r="H16" s="80"/>
      <c r="I16" s="81">
        <f>J12</f>
        <v>19600</v>
      </c>
      <c r="J16" s="8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15:D15"/>
    <mergeCell ref="E15:F15"/>
    <mergeCell ref="G15:H15"/>
    <mergeCell ref="I15:J15"/>
    <mergeCell ref="C16:D16"/>
    <mergeCell ref="E16:F16"/>
    <mergeCell ref="G16:H16"/>
    <mergeCell ref="I16:J16"/>
    <mergeCell ref="A1:J1"/>
    <mergeCell ref="A2:B2"/>
    <mergeCell ref="C2:D2"/>
    <mergeCell ref="E2:F2"/>
    <mergeCell ref="G2:H2"/>
    <mergeCell ref="I2:J2"/>
    <mergeCell ref="C13:D1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2023-03-10T15:59:41Z</dcterms:created>
  <dc:creator>Jennifer Andreia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